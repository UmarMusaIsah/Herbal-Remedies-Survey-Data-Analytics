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ress Teck Solutions\Documents\UMAR_MUSA_ISAH_DATA_ANALYTICS_PORFOLIO\06_Herbal_Remedies_Survey_&amp;_Data_Analytics_Project\04_Excel\"/>
    </mc:Choice>
  </mc:AlternateContent>
  <xr:revisionPtr revIDLastSave="0" documentId="13_ncr:1_{6C4D81C9-F1FF-4D2B-AAE9-1C9ADDF29CE3}" xr6:coauthVersionLast="47" xr6:coauthVersionMax="47" xr10:uidLastSave="{00000000-0000-0000-0000-000000000000}"/>
  <bookViews>
    <workbookView xWindow="-100" yWindow="-100" windowWidth="21467" windowHeight="12163" activeTab="7" xr2:uid="{69EFFEF8-B518-43C6-8DBB-4F18D6DF5A5A}"/>
  </bookViews>
  <sheets>
    <sheet name="Cover" sheetId="4" r:id="rId1"/>
    <sheet name="Raw_Data" sheetId="5" r:id="rId2"/>
    <sheet name="Cleaned_Data" sheetId="2" r:id="rId3"/>
    <sheet name="Data_Dictionary" sheetId="6" r:id="rId4"/>
    <sheet name="KPIs" sheetId="7" r:id="rId5"/>
    <sheet name="Pivot_Tables" sheetId="8" r:id="rId6"/>
    <sheet name="Charts" sheetId="9" r:id="rId7"/>
    <sheet name="Dashboard" sheetId="10" r:id="rId8"/>
  </sheets>
  <definedNames>
    <definedName name="Slicer_AgeGroup">#N/A</definedName>
    <definedName name="Slicer_Gender">#N/A</definedName>
    <definedName name="Slicer_Location">#N/A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 i="7" l="1" a="1"/>
  <c r="B12" i="7" s="1"/>
  <c r="B11" i="7" a="1"/>
  <c r="B11" i="7" s="1"/>
  <c r="B10" i="7"/>
  <c r="B9" i="7"/>
  <c r="B8" i="7"/>
  <c r="B7" i="7"/>
  <c r="B6" i="7"/>
  <c r="B5" i="7"/>
  <c r="B4" i="7"/>
  <c r="B3" i="7"/>
  <c r="B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<sst xmlns="http://schemas.openxmlformats.org/spreadsheetml/2006/main" count="1846" uniqueCount="254">
  <si>
    <t>Gender</t>
  </si>
  <si>
    <t>Age</t>
  </si>
  <si>
    <t>Location</t>
  </si>
  <si>
    <t>Do you use herbal remedies?</t>
  </si>
  <si>
    <t>Which herbs do you use?</t>
  </si>
  <si>
    <t>Frequency</t>
  </si>
  <si>
    <t>why use herbs?</t>
  </si>
  <si>
    <t>Sources of Herbs?</t>
  </si>
  <si>
    <t>Does it effective?</t>
  </si>
  <si>
    <t>Level of effectiveness</t>
  </si>
  <si>
    <t>Does it have a side effect?</t>
  </si>
  <si>
    <t>Do you combine herb and hospital medicine?</t>
  </si>
  <si>
    <t>Can  you ecommmended others to use herbs?</t>
  </si>
  <si>
    <t>Male</t>
  </si>
  <si>
    <t>18 - 30</t>
  </si>
  <si>
    <t>Urban</t>
  </si>
  <si>
    <t>Yes</t>
  </si>
  <si>
    <t>Leaves, Roots</t>
  </si>
  <si>
    <t>Rarely</t>
  </si>
  <si>
    <t>Affordable, Effecctive</t>
  </si>
  <si>
    <t>Self</t>
  </si>
  <si>
    <t>Moderate</t>
  </si>
  <si>
    <t>No</t>
  </si>
  <si>
    <t>31 - 50</t>
  </si>
  <si>
    <t>Leaves, Roots, Mixtures</t>
  </si>
  <si>
    <t>Occationally</t>
  </si>
  <si>
    <t>Family/freinds</t>
  </si>
  <si>
    <t>Very effective</t>
  </si>
  <si>
    <t>Others</t>
  </si>
  <si>
    <t>Daily</t>
  </si>
  <si>
    <t>Easy access</t>
  </si>
  <si>
    <t>Not effective</t>
  </si>
  <si>
    <t>Mixtures</t>
  </si>
  <si>
    <t>Traditional healer</t>
  </si>
  <si>
    <t>Rural</t>
  </si>
  <si>
    <t>Effecctive</t>
  </si>
  <si>
    <t>Roots</t>
  </si>
  <si>
    <t>Weekly</t>
  </si>
  <si>
    <t>Cultural belief</t>
  </si>
  <si>
    <t>Leaves, Mixtures</t>
  </si>
  <si>
    <t>Affordable, Cultural belief</t>
  </si>
  <si>
    <t>Leaves</t>
  </si>
  <si>
    <t>Female</t>
  </si>
  <si>
    <t>Easy access, Effecctive</t>
  </si>
  <si>
    <t>Affordable, Easy access, Cultural belief</t>
  </si>
  <si>
    <t>Affordable</t>
  </si>
  <si>
    <t>Under  18</t>
  </si>
  <si>
    <t>Leaves, Mixtures, Others</t>
  </si>
  <si>
    <t>Not sure</t>
  </si>
  <si>
    <t>Affordable, Cultural belief, Effecctive</t>
  </si>
  <si>
    <t>Affordable, Easy access, Effecctive</t>
  </si>
  <si>
    <t>Above 50</t>
  </si>
  <si>
    <t>Easy access, Cultural belief</t>
  </si>
  <si>
    <t>Affordable, Easy access</t>
  </si>
  <si>
    <t>Timestamp</t>
  </si>
  <si>
    <t>Name</t>
  </si>
  <si>
    <t>2026/04/29 3:10:01 PM GMT+1</t>
  </si>
  <si>
    <t>Abdul</t>
  </si>
  <si>
    <t>Leaves;Roots</t>
  </si>
  <si>
    <t>Affordable;Effecctive</t>
  </si>
  <si>
    <t>2026/04/29 3:50:50 PM GMT+1</t>
  </si>
  <si>
    <t xml:space="preserve">Aminu Umar </t>
  </si>
  <si>
    <t>Leaves;Roots;Mixtures</t>
  </si>
  <si>
    <t>Affordable;Easy access;Cultural belief;Effecctive</t>
  </si>
  <si>
    <t>2026/04/29 3:54:07 PM GMT+1</t>
  </si>
  <si>
    <t>Shafiu uba</t>
  </si>
  <si>
    <t>2026/04/29 3:55:13 PM GMT+1</t>
  </si>
  <si>
    <t>Abdulmuhaimin Musa</t>
  </si>
  <si>
    <t>2026/04/29 3:58:13 PM GMT+1</t>
  </si>
  <si>
    <t>Ali Abdulhamid Aliyu</t>
  </si>
  <si>
    <t>2026/04/29 4:13:10 PM GMT+1</t>
  </si>
  <si>
    <t xml:space="preserve">ISAH ABDULWAHAB MUHAMMAD </t>
  </si>
  <si>
    <t>2026/04/29 4:14:40 PM GMT+1</t>
  </si>
  <si>
    <t xml:space="preserve">Abubakar Sadiq </t>
  </si>
  <si>
    <t>Leaves;Mixtures</t>
  </si>
  <si>
    <t>Affordable;Cultural belief</t>
  </si>
  <si>
    <t>2026/04/29 4:15:03 PM GMT+1</t>
  </si>
  <si>
    <t>2026/04/29 4:15:58 PM GMT+1</t>
  </si>
  <si>
    <t>2026/04/29 4:19:14 PM GMT+1</t>
  </si>
  <si>
    <t xml:space="preserve">Fatima Liman Abubakar </t>
  </si>
  <si>
    <t>Easy access;Effecctive</t>
  </si>
  <si>
    <t>2026/04/29 4:33:59 PM GMT+1</t>
  </si>
  <si>
    <t>BASHIR I ABBA</t>
  </si>
  <si>
    <t>2026/04/29 4:37:24 PM GMT+1</t>
  </si>
  <si>
    <t>Muhammad Sani Adam</t>
  </si>
  <si>
    <t>2026/04/29 5:01:42 PM GMT+1</t>
  </si>
  <si>
    <t xml:space="preserve">AHMAD SANI KUSADA </t>
  </si>
  <si>
    <t>2026/04/29 5:12:06 PM GMT+1</t>
  </si>
  <si>
    <t xml:space="preserve">Abubakar Ado </t>
  </si>
  <si>
    <t>Affordable;Easy access;Cultural belief</t>
  </si>
  <si>
    <t>2026/04/29 5:24:19 PM GMT+1</t>
  </si>
  <si>
    <t xml:space="preserve">MUSTAPHA ALIYU </t>
  </si>
  <si>
    <t>2026/04/29 5:44:14 PM GMT+1</t>
  </si>
  <si>
    <t xml:space="preserve">Sagiru Saleh Tsangaya </t>
  </si>
  <si>
    <t>2026/04/29 5:50:58 PM GMT+1</t>
  </si>
  <si>
    <t>2026/04/29 6:24:58 PM GMT+1</t>
  </si>
  <si>
    <t xml:space="preserve">Sadiq ismail </t>
  </si>
  <si>
    <t>2026/04/29 6:32:08 PM GMT+1</t>
  </si>
  <si>
    <t xml:space="preserve">Abdulrazak Ahmad </t>
  </si>
  <si>
    <t>Leaves;Mixtures;Others</t>
  </si>
  <si>
    <t>Easy access;Cultural belief;Effecctive;No hospital access</t>
  </si>
  <si>
    <t>2026/04/29 7:12:27 PM GMT+1</t>
  </si>
  <si>
    <t>Adamu bako ahmad</t>
  </si>
  <si>
    <t>2026/04/29 8:22:56 PM GMT+1</t>
  </si>
  <si>
    <t xml:space="preserve">Ali YUSUF MUHAMMAD </t>
  </si>
  <si>
    <t>2026/04/29 8:36:09 PM GMT+1</t>
  </si>
  <si>
    <t xml:space="preserve">Mukhtar khalid </t>
  </si>
  <si>
    <t>2026/04/29 8:44:15 PM GMT+1</t>
  </si>
  <si>
    <t>2026/04/29 10:32:27 PM GMT+1</t>
  </si>
  <si>
    <t xml:space="preserve">Habibu Sagir Dayyabu </t>
  </si>
  <si>
    <t>Affordable;Cultural belief;Effecctive</t>
  </si>
  <si>
    <t>2026/04/29 10:32:53 PM GMT+1</t>
  </si>
  <si>
    <t xml:space="preserve">Abdulfatah Garba </t>
  </si>
  <si>
    <t>2026/04/29 11:14:38 PM GMT+1</t>
  </si>
  <si>
    <t>Yunusa Adamu</t>
  </si>
  <si>
    <t>2026/04/29 11:17:59 PM GMT+1</t>
  </si>
  <si>
    <t xml:space="preserve">Musa Tayyib </t>
  </si>
  <si>
    <t>2026/04/30 5:40:27 AM GMT+1</t>
  </si>
  <si>
    <t xml:space="preserve">Yes, I am using herbal remedies, ie pile problem, numonia, and other infections like toilet etc </t>
  </si>
  <si>
    <t>2026/04/30 9:34:00 AM GMT+1</t>
  </si>
  <si>
    <t xml:space="preserve">Mubarak Lawan Magaji </t>
  </si>
  <si>
    <t>Affordable;Easy access;Effecctive</t>
  </si>
  <si>
    <t>2026/04/30 2:41:25 PM GMT+1</t>
  </si>
  <si>
    <t xml:space="preserve">Musa Muhammad Inuwa </t>
  </si>
  <si>
    <t>2026/04/30 7:44:45 PM GMT+1</t>
  </si>
  <si>
    <t>Muhammad sani Ahmad</t>
  </si>
  <si>
    <t>2026/05/01 9:59:44 AM GMT+1</t>
  </si>
  <si>
    <t>Khamis Mukhtar</t>
  </si>
  <si>
    <t>2026/05/01 10:00:54 AM GMT+1</t>
  </si>
  <si>
    <t>Salisu Abdulhamid</t>
  </si>
  <si>
    <t>2026/05/01 10:02:52 AM GMT+1</t>
  </si>
  <si>
    <t>Kabiru Usman</t>
  </si>
  <si>
    <t>2026/05/01 10:03:41 AM GMT+1</t>
  </si>
  <si>
    <t>Sulaiman Isah Umar</t>
  </si>
  <si>
    <t>2026/05/01 10:07:41 AM GMT+1</t>
  </si>
  <si>
    <t>Umar Mikaila</t>
  </si>
  <si>
    <t>2026/05/01 10:09:31 AM GMT+1</t>
  </si>
  <si>
    <t>Amir Muhammad</t>
  </si>
  <si>
    <t>2026/05/01 10:10:33 AM GMT+1</t>
  </si>
  <si>
    <t>Khalifa Rabiu</t>
  </si>
  <si>
    <t>2026/05/01 10:12:04 AM GMT+1</t>
  </si>
  <si>
    <t>Shaawanatu Munnur</t>
  </si>
  <si>
    <t>2026/05/01 10:13:16 AM GMT+1</t>
  </si>
  <si>
    <t>Rabiatu Abdullahi</t>
  </si>
  <si>
    <t>2026/05/01 10:15:22 AM GMT+1</t>
  </si>
  <si>
    <t>Lawisa Jibril</t>
  </si>
  <si>
    <t>2026/05/01 10:16:39 AM GMT+1</t>
  </si>
  <si>
    <t>Ladifa Salisu</t>
  </si>
  <si>
    <t>2026/05/01 10:18:25 AM GMT+1</t>
  </si>
  <si>
    <t>Rumasau sulaiman</t>
  </si>
  <si>
    <t>2026/05/01 10:19:36 AM GMT+1</t>
  </si>
  <si>
    <t>Fiddausi Abdullahi</t>
  </si>
  <si>
    <t>2026/05/01 10:20:36 AM GMT+1</t>
  </si>
  <si>
    <t>Salamatu Muhammad</t>
  </si>
  <si>
    <t>2026/05/01 10:21:30 AM GMT+1</t>
  </si>
  <si>
    <t>Nusaiba Sunusi</t>
  </si>
  <si>
    <t>2026/05/01 10:22:13 AM GMT+1</t>
  </si>
  <si>
    <t>Aisha Abdullahi</t>
  </si>
  <si>
    <t>2026/05/01 10:23:05 AM GMT+1</t>
  </si>
  <si>
    <t>Nafisq Isah</t>
  </si>
  <si>
    <t>2026/05/01 10:23:49 AM GMT+1</t>
  </si>
  <si>
    <t>Nasiba Bala</t>
  </si>
  <si>
    <t>2026/05/01 10:24:41 AM GMT+1</t>
  </si>
  <si>
    <t>Zainab Yusuf</t>
  </si>
  <si>
    <t>2026/05/01 10:25:21 AM GMT+1</t>
  </si>
  <si>
    <t>Najaatu Yusuf</t>
  </si>
  <si>
    <t>2026/05/01 10:26:18 AM GMT+1</t>
  </si>
  <si>
    <t>Hajara Yakubu</t>
  </si>
  <si>
    <t>2026/05/01 10:27:00 AM GMT+1</t>
  </si>
  <si>
    <t>Khadija Wada</t>
  </si>
  <si>
    <t>2026/05/01 10:27:43 AM GMT+1</t>
  </si>
  <si>
    <t>Zainab Ado</t>
  </si>
  <si>
    <t>2026/05/01 10:28:42 AM GMT+1</t>
  </si>
  <si>
    <t>Maryam Isah</t>
  </si>
  <si>
    <t>2026/05/01 10:30:39 AM GMT+1</t>
  </si>
  <si>
    <t>Usman Adamu</t>
  </si>
  <si>
    <t>2026/05/01 10:31:37 AM GMT+1</t>
  </si>
  <si>
    <t xml:space="preserve">Ibrahim Muhammad </t>
  </si>
  <si>
    <t>2026/05/01 10:32:49 AM GMT+1</t>
  </si>
  <si>
    <t>Anas Yusuf</t>
  </si>
  <si>
    <t>2026/05/01 10:33:46 AM GMT+1</t>
  </si>
  <si>
    <t>Buhari Wada</t>
  </si>
  <si>
    <t>2026/05/01 10:34:34 AM GMT+1</t>
  </si>
  <si>
    <t>Abdullahi Ibrahim</t>
  </si>
  <si>
    <t>Easy access;Cultural belief</t>
  </si>
  <si>
    <t>Column Name</t>
  </si>
  <si>
    <t>Description</t>
  </si>
  <si>
    <t>Data Type</t>
  </si>
  <si>
    <t>RespondentID</t>
  </si>
  <si>
    <t>Unique respondent identifier</t>
  </si>
  <si>
    <t>Number</t>
  </si>
  <si>
    <t>Respondent gender</t>
  </si>
  <si>
    <t>Text</t>
  </si>
  <si>
    <t>AgeGroup</t>
  </si>
  <si>
    <t>Age category</t>
  </si>
  <si>
    <t>Respondent location</t>
  </si>
  <si>
    <t>UsesHerbalRemedies</t>
  </si>
  <si>
    <t>Herbal remedy usage</t>
  </si>
  <si>
    <t>HerbsUsed</t>
  </si>
  <si>
    <t>Herbal remedies used</t>
  </si>
  <si>
    <t>UsageFrequency</t>
  </si>
  <si>
    <t>Frequency of usage</t>
  </si>
  <si>
    <t>ReasonForUse</t>
  </si>
  <si>
    <t>Reason for use</t>
  </si>
  <si>
    <t>HerbSource</t>
  </si>
  <si>
    <t>Source of herbs</t>
  </si>
  <si>
    <t>IsEffective</t>
  </si>
  <si>
    <t>Perceived effectiveness</t>
  </si>
  <si>
    <t>EffectivenessLevel</t>
  </si>
  <si>
    <t>HasSideEffects</t>
  </si>
  <si>
    <t>Side effects experienced</t>
  </si>
  <si>
    <t>CombineWithHospitalMedicine</t>
  </si>
  <si>
    <t>Combination with hospital medicine</t>
  </si>
  <si>
    <t>RecommendToOthers</t>
  </si>
  <si>
    <t>Recommendation to others</t>
  </si>
  <si>
    <t>KPI</t>
  </si>
  <si>
    <t>Value</t>
  </si>
  <si>
    <t>Total Respondents</t>
  </si>
  <si>
    <t>Herbal Usage Rate</t>
  </si>
  <si>
    <t>Effectiveness Rate</t>
  </si>
  <si>
    <t>Recommendation Rate</t>
  </si>
  <si>
    <t>Side Effects Rate</t>
  </si>
  <si>
    <t>Most Common Age Group</t>
  </si>
  <si>
    <t>Most Common Location</t>
  </si>
  <si>
    <t>Herbal Users</t>
  </si>
  <si>
    <t>Effective Responses</t>
  </si>
  <si>
    <t>Respondents with Side Effects</t>
  </si>
  <si>
    <t>Recommend to Others</t>
  </si>
  <si>
    <t>Row Labels</t>
  </si>
  <si>
    <t>Grand Total</t>
  </si>
  <si>
    <t>Total Users</t>
  </si>
  <si>
    <t>Count of RespondentID</t>
  </si>
  <si>
    <t>Herbal Remedies Field Survey Dashboard</t>
  </si>
  <si>
    <t>Executive Summary Report</t>
  </si>
  <si>
    <t>👥</t>
  </si>
  <si>
    <t>Source:  Herbal Remedies Field Survey (N=60) Prepared in Microsoft Excel</t>
  </si>
  <si>
    <t>HERBAL REMEDIES FIELD SURVEY &amp; DATA ANALYSIS PROJECT</t>
  </si>
  <si>
    <t>Professional Data Analytics Portfolio Project</t>
  </si>
  <si>
    <t>Prepared by</t>
  </si>
  <si>
    <t>UMAR MUSA ISAH</t>
  </si>
  <si>
    <t>Senior Data Analyst &amp; M&amp;E Specialist</t>
  </si>
  <si>
    <t>Tools Used</t>
  </si>
  <si>
    <t>✓ Microsoft Excel</t>
  </si>
  <si>
    <t>✓ SQL Server</t>
  </si>
  <si>
    <t>✓ Power BI</t>
  </si>
  <si>
    <t>✓ Power Query</t>
  </si>
  <si>
    <t>✓ Pivot Tables</t>
  </si>
  <si>
    <t>✓ Pivot Charts</t>
  </si>
  <si>
    <t>✓ Dashboard Development</t>
  </si>
  <si>
    <t>Project Duration</t>
  </si>
  <si>
    <t>April 2026 – May 2026</t>
  </si>
  <si>
    <t>Version</t>
  </si>
  <si>
    <t>Version 1.0</t>
  </si>
  <si>
    <t>Prepared for Portfolio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</si>
</sst>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2E7D32"/>
      <name val="Aptos Narrow"/>
      <family val="2"/>
      <scheme val="minor"/>
    </font>
    <font>
      <sz val="16"/>
      <color theme="1" tint="0.14999847407452621"/>
      <name val="Aptos Narrow"/>
      <family val="2"/>
      <scheme val="minor"/>
    </font>
    <font>
      <b/>
      <sz val="36"/>
      <color rgb="FF2E7D32"/>
      <name val="Times New Roman"/>
      <family val="1"/>
    </font>
  </fonts>
  <fills count="3">
    <fill>
      <patternFill patternType="none"/>
    </fill>
    <fill>
      <patternFill patternType="gray125"/>
    </fill>
    <fill>
      <patternFill patternType="solid">
        <fgColor theme="3" tint="9.9978637043366805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1" xfId="0" applyBorder="1"/>
    <xf numFmtId="0" fontId="0" fillId="0" borderId="0" xfId="0" applyAlignment="1">
      <alignment wrapText="1"/>
    </xf>
    <xf numFmtId="0" fontId="0" fillId="0" borderId="7" xfId="0" applyBorder="1"/>
    <xf numFmtId="0" fontId="0" fillId="0" borderId="1" xfId="0" applyBorder="1" applyAlignment="1">
      <alignment vertical="center" wrapText="1"/>
    </xf>
    <xf numFmtId="0" fontId="3" fillId="0" borderId="1" xfId="0" applyFont="1" applyBorder="1"/>
    <xf numFmtId="0" fontId="2"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9" xfId="0" applyFont="1" applyFill="1" applyBorder="1" applyAlignment="1">
      <alignment horizontal="center" vertical="center"/>
    </xf>
    <xf numFmtId="0" fontId="0" fillId="0" borderId="4" xfId="0" applyBorder="1"/>
    <xf numFmtId="0" fontId="0" fillId="0" borderId="6" xfId="0" applyBorder="1"/>
    <xf numFmtId="0" fontId="0" fillId="0" borderId="1" xfId="0" applyBorder="1" applyAlignment="1">
      <alignment horizontal="right" vertical="center" wrapText="1"/>
    </xf>
    <xf numFmtId="9" fontId="0" fillId="0" borderId="1" xfId="1" applyFont="1" applyBorder="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1" fontId="4" fillId="2" borderId="8" xfId="0" applyNumberFormat="1" applyFont="1" applyFill="1" applyBorder="1" applyAlignment="1">
      <alignment horizontal="center" vertical="center"/>
    </xf>
    <xf numFmtId="1" fontId="0" fillId="0" borderId="3" xfId="0" applyNumberFormat="1" applyBorder="1"/>
    <xf numFmtId="1" fontId="0" fillId="0" borderId="5" xfId="0" applyNumberFormat="1" applyBorder="1"/>
    <xf numFmtId="1" fontId="0" fillId="0" borderId="0" xfId="0" applyNumberFormat="1"/>
    <xf numFmtId="0" fontId="0" fillId="0" borderId="0" xfId="0" applyAlignment="1">
      <alignment horizontal="center"/>
    </xf>
    <xf numFmtId="0" fontId="6" fillId="0" borderId="0" xfId="0" applyFont="1" applyAlignment="1">
      <alignment horizontal="center"/>
    </xf>
    <xf numFmtId="0" fontId="5" fillId="0" borderId="0" xfId="0" applyFont="1" applyAlignment="1">
      <alignment horizontal="center" wrapText="1"/>
    </xf>
    <xf numFmtId="0" fontId="7" fillId="0" borderId="0" xfId="0" applyFont="1" applyAlignment="1">
      <alignment horizontal="center"/>
    </xf>
  </cellXfs>
  <cellStyles count="2">
    <cellStyle name="Normal" xfId="0" builtinId="0"/>
    <cellStyle name="Percent" xfId="1" builtinId="5"/>
  </cellStyles>
  <dxfs count="23">
    <dxf>
      <font>
        <color rgb="FF2E7D32"/>
      </font>
      <fill>
        <patternFill patternType="solid"/>
      </fill>
      <border>
        <left style="thin">
          <color rgb="FF2E7D32"/>
        </left>
        <right style="thin">
          <color rgb="FF2E7D32"/>
        </right>
        <top style="thin">
          <color rgb="FF2E7D32"/>
        </top>
        <bottom style="thin">
          <color rgb="FF2E7D32"/>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Aptos Narrow"/>
        <family val="2"/>
        <scheme val="minor"/>
      </font>
      <fill>
        <patternFill patternType="solid">
          <fgColor indexed="64"/>
          <bgColor theme="3" tint="9.9978637043366805E-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defaultTableStyle="TableStyleMedium2" defaultPivotStyle="PivotStyleLight16">
    <tableStyle name="Form Responses 1-style" pivot="0" count="4" xr9:uid="{DD2745E0-CF3B-4093-B5B2-57E915E31683}">
      <tableStyleElement type="wholeTable" size="0" dxfId="22"/>
      <tableStyleElement type="headerRow" dxfId="21"/>
      <tableStyleElement type="firstRowStripe" dxfId="20"/>
      <tableStyleElement type="secondRowStripe" dxfId="19"/>
    </tableStyle>
    <tableStyle name="Slicer Style 1" pivot="0" table="0" count="1" xr9:uid="{2C43DB46-6D05-412F-9AC6-AD650D1128AE}">
      <tableStyleElement type="wholeTable" dxfId="0"/>
    </tableStyle>
  </tableStyles>
  <colors>
    <mruColors>
      <color rgb="FF2E7D32"/>
      <color rgb="FF81C78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E7D32"/>
          </a:solidFill>
          <a:ln w="19050">
            <a:solidFill>
              <a:schemeClr val="lt1"/>
            </a:solidFill>
          </a:ln>
          <a:effectLst/>
        </c:spPr>
      </c:pivotFmt>
      <c:pivotFmt>
        <c:idx val="2"/>
        <c:spPr>
          <a:solidFill>
            <a:srgbClr val="81C784"/>
          </a:solidFill>
          <a:ln w="19050">
            <a:solidFill>
              <a:schemeClr val="lt1"/>
            </a:solidFill>
          </a:ln>
          <a:effectLst/>
        </c:spPr>
      </c:pivotFmt>
    </c:pivotFmts>
    <c:plotArea>
      <c:layout/>
      <c:pieChart>
        <c:varyColors val="1"/>
        <c:ser>
          <c:idx val="0"/>
          <c:order val="0"/>
          <c:tx>
            <c:strRef>
              <c:f>Pivot_Tables!$B$3</c:f>
              <c:strCache>
                <c:ptCount val="1"/>
                <c:pt idx="0">
                  <c:v>Total</c:v>
                </c:pt>
              </c:strCache>
            </c:strRef>
          </c:tx>
          <c:dPt>
            <c:idx val="0"/>
            <c:bubble3D val="0"/>
            <c:spPr>
              <a:solidFill>
                <a:srgbClr val="81C784"/>
              </a:solidFill>
              <a:ln w="19050">
                <a:solidFill>
                  <a:schemeClr val="lt1"/>
                </a:solidFill>
              </a:ln>
              <a:effectLst/>
            </c:spPr>
            <c:extLst>
              <c:ext xmlns:c16="http://schemas.microsoft.com/office/drawing/2014/chart" uri="{C3380CC4-5D6E-409C-BE32-E72D297353CC}">
                <c16:uniqueId val="{00000003-0161-440E-BE7B-9FD154801F70}"/>
              </c:ext>
            </c:extLst>
          </c:dPt>
          <c:dPt>
            <c:idx val="1"/>
            <c:bubble3D val="0"/>
            <c:spPr>
              <a:solidFill>
                <a:srgbClr val="2E7D32"/>
              </a:solidFill>
              <a:ln w="19050">
                <a:solidFill>
                  <a:schemeClr val="lt1"/>
                </a:solidFill>
              </a:ln>
              <a:effectLst/>
            </c:spPr>
            <c:extLst>
              <c:ext xmlns:c16="http://schemas.microsoft.com/office/drawing/2014/chart" uri="{C3380CC4-5D6E-409C-BE32-E72D297353CC}">
                <c16:uniqueId val="{00000002-0161-440E-BE7B-9FD154801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Pivot_Tables!$A$4:$A$6</c:f>
              <c:strCache>
                <c:ptCount val="2"/>
                <c:pt idx="0">
                  <c:v>Female</c:v>
                </c:pt>
                <c:pt idx="1">
                  <c:v>Male</c:v>
                </c:pt>
              </c:strCache>
            </c:strRef>
          </c:cat>
          <c:val>
            <c:numRef>
              <c:f>Pivot_Tables!$B$4:$B$6</c:f>
              <c:numCache>
                <c:formatCode>General</c:formatCode>
                <c:ptCount val="2"/>
                <c:pt idx="0">
                  <c:v>18</c:v>
                </c:pt>
                <c:pt idx="1">
                  <c:v>42</c:v>
                </c:pt>
              </c:numCache>
            </c:numRef>
          </c:val>
          <c:extLst>
            <c:ext xmlns:c16="http://schemas.microsoft.com/office/drawing/2014/chart" uri="{C3380CC4-5D6E-409C-BE32-E72D297353CC}">
              <c16:uniqueId val="{00000000-0161-440E-BE7B-9FD154801F7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Pivot_Tables!$F$3</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Pivot_Tables!$E$4:$E$6</c:f>
              <c:strCache>
                <c:ptCount val="2"/>
                <c:pt idx="0">
                  <c:v>18 - 30</c:v>
                </c:pt>
                <c:pt idx="1">
                  <c:v>31 - 50</c:v>
                </c:pt>
              </c:strCache>
            </c:strRef>
          </c:cat>
          <c:val>
            <c:numRef>
              <c:f>Pivot_Tables!$F$4:$F$6</c:f>
              <c:numCache>
                <c:formatCode>General</c:formatCode>
                <c:ptCount val="2"/>
                <c:pt idx="0">
                  <c:v>36</c:v>
                </c:pt>
                <c:pt idx="1">
                  <c:v>24</c:v>
                </c:pt>
              </c:numCache>
            </c:numRef>
          </c:val>
          <c:extLst>
            <c:ext xmlns:c16="http://schemas.microsoft.com/office/drawing/2014/chart" uri="{C3380CC4-5D6E-409C-BE32-E72D297353CC}">
              <c16:uniqueId val="{00000000-36AD-4DFD-9312-895EEEF63E75}"/>
            </c:ext>
          </c:extLst>
        </c:ser>
        <c:dLbls>
          <c:dLblPos val="outEnd"/>
          <c:showLegendKey val="0"/>
          <c:showVal val="1"/>
          <c:showCatName val="0"/>
          <c:showSerName val="0"/>
          <c:showPercent val="0"/>
          <c:showBubbleSize val="0"/>
        </c:dLbls>
        <c:gapWidth val="219"/>
        <c:overlap val="-27"/>
        <c:axId val="2006165695"/>
        <c:axId val="2006164735"/>
      </c:barChart>
      <c:catAx>
        <c:axId val="200616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64735"/>
        <c:crosses val="autoZero"/>
        <c:auto val="1"/>
        <c:lblAlgn val="ctr"/>
        <c:lblOffset val="100"/>
        <c:noMultiLvlLbl val="0"/>
      </c:catAx>
      <c:valAx>
        <c:axId val="200616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6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Pivot_Tables!$J$3</c:f>
              <c:strCache>
                <c:ptCount val="1"/>
                <c:pt idx="0">
                  <c:v>Total</c:v>
                </c:pt>
              </c:strCache>
            </c:strRef>
          </c:tx>
          <c:spPr>
            <a:solidFill>
              <a:srgbClr val="81C7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Pivot_Tables!$I$4:$I$6</c:f>
              <c:strCache>
                <c:ptCount val="2"/>
                <c:pt idx="0">
                  <c:v>Rural</c:v>
                </c:pt>
                <c:pt idx="1">
                  <c:v>Urban</c:v>
                </c:pt>
              </c:strCache>
            </c:strRef>
          </c:cat>
          <c:val>
            <c:numRef>
              <c:f>Pivot_Tables!$J$4:$J$6</c:f>
              <c:numCache>
                <c:formatCode>General</c:formatCode>
                <c:ptCount val="2"/>
                <c:pt idx="0">
                  <c:v>31</c:v>
                </c:pt>
                <c:pt idx="1">
                  <c:v>29</c:v>
                </c:pt>
              </c:numCache>
            </c:numRef>
          </c:val>
          <c:extLst>
            <c:ext xmlns:c16="http://schemas.microsoft.com/office/drawing/2014/chart" uri="{C3380CC4-5D6E-409C-BE32-E72D297353CC}">
              <c16:uniqueId val="{00000000-009E-4457-88DA-1396BFF87007}"/>
            </c:ext>
          </c:extLst>
        </c:ser>
        <c:dLbls>
          <c:dLblPos val="outEnd"/>
          <c:showLegendKey val="0"/>
          <c:showVal val="1"/>
          <c:showCatName val="0"/>
          <c:showSerName val="0"/>
          <c:showPercent val="0"/>
          <c:showBubbleSize val="0"/>
        </c:dLbls>
        <c:gapWidth val="182"/>
        <c:axId val="135821743"/>
        <c:axId val="135822223"/>
      </c:barChart>
      <c:catAx>
        <c:axId val="13582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22223"/>
        <c:crosses val="autoZero"/>
        <c:auto val="1"/>
        <c:lblAlgn val="ctr"/>
        <c:lblOffset val="100"/>
        <c:noMultiLvlLbl val="0"/>
      </c:catAx>
      <c:valAx>
        <c:axId val="135822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2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Herbal Remedies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1339235092700471"/>
              <c:y val="2.22450186630451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2E7D32"/>
          </a:solidFill>
          <a:ln w="19050">
            <a:solidFill>
              <a:schemeClr val="lt1"/>
            </a:solidFill>
          </a:ln>
          <a:effectLst/>
        </c:spPr>
        <c:dLbl>
          <c:idx val="0"/>
          <c:layout>
            <c:manualLayout>
              <c:x val="-7.8502396795618698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Pivot_Tables!$B$20</c:f>
              <c:strCache>
                <c:ptCount val="1"/>
                <c:pt idx="0">
                  <c:v>Total</c:v>
                </c:pt>
              </c:strCache>
            </c:strRef>
          </c:tx>
          <c:spPr>
            <a:solidFill>
              <a:srgbClr val="2E7D32"/>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2-4A43-4F74-970B-BD8C14DCB6A3}"/>
              </c:ext>
            </c:extLst>
          </c:dPt>
          <c:dPt>
            <c:idx val="1"/>
            <c:bubble3D val="0"/>
            <c:spPr>
              <a:solidFill>
                <a:srgbClr val="2E7D32"/>
              </a:solidFill>
              <a:ln w="19050">
                <a:solidFill>
                  <a:schemeClr val="lt1"/>
                </a:solidFill>
              </a:ln>
              <a:effectLst/>
            </c:spPr>
            <c:extLst>
              <c:ext xmlns:c16="http://schemas.microsoft.com/office/drawing/2014/chart" uri="{C3380CC4-5D6E-409C-BE32-E72D297353CC}">
                <c16:uniqueId val="{00000003-4A43-4F74-970B-BD8C14DCB6A3}"/>
              </c:ext>
            </c:extLst>
          </c:dPt>
          <c:dLbls>
            <c:dLbl>
              <c:idx val="0"/>
              <c:layout>
                <c:manualLayout>
                  <c:x val="0.11339235092700471"/>
                  <c:y val="2.224501866304518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A43-4F74-970B-BD8C14DCB6A3}"/>
                </c:ext>
              </c:extLst>
            </c:dLbl>
            <c:dLbl>
              <c:idx val="1"/>
              <c:layout>
                <c:manualLayout>
                  <c:x val="-7.8502396795618698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43-4F74-970B-BD8C14DCB6A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Pivot_Tables!$A$21:$A$23</c:f>
              <c:strCache>
                <c:ptCount val="2"/>
                <c:pt idx="0">
                  <c:v>No</c:v>
                </c:pt>
                <c:pt idx="1">
                  <c:v>Yes</c:v>
                </c:pt>
              </c:strCache>
            </c:strRef>
          </c:cat>
          <c:val>
            <c:numRef>
              <c:f>Pivot_Tables!$B$21:$B$23</c:f>
              <c:numCache>
                <c:formatCode>General</c:formatCode>
                <c:ptCount val="2"/>
                <c:pt idx="0">
                  <c:v>3</c:v>
                </c:pt>
                <c:pt idx="1">
                  <c:v>57</c:v>
                </c:pt>
              </c:numCache>
            </c:numRef>
          </c:val>
          <c:extLst>
            <c:ext xmlns:c16="http://schemas.microsoft.com/office/drawing/2014/chart" uri="{C3380CC4-5D6E-409C-BE32-E72D297353CC}">
              <c16:uniqueId val="{00000000-4A43-4F74-970B-BD8C14DCB6A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Frequently Used Herbal</a:t>
            </a:r>
          </a:p>
          <a:p>
            <a:pPr>
              <a:defRPr/>
            </a:pPr>
            <a:r>
              <a:rPr lang="en-US"/>
              <a:t>Remedies</a:t>
            </a:r>
          </a:p>
        </c:rich>
      </c:tx>
      <c:layout>
        <c:manualLayout>
          <c:xMode val="edge"/>
          <c:yMode val="edge"/>
          <c:x val="0.17415194586985147"/>
          <c:y val="3.9975385235233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Pivot_Tables!$F$20</c:f>
              <c:strCache>
                <c:ptCount val="1"/>
                <c:pt idx="0">
                  <c:v>Total</c:v>
                </c:pt>
              </c:strCache>
            </c:strRef>
          </c:tx>
          <c:spPr>
            <a:solidFill>
              <a:srgbClr val="2E7D3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Pivot_Tables!$E$21:$E$26</c:f>
              <c:strCache>
                <c:ptCount val="5"/>
                <c:pt idx="0">
                  <c:v>Roots</c:v>
                </c:pt>
                <c:pt idx="1">
                  <c:v>Others</c:v>
                </c:pt>
                <c:pt idx="2">
                  <c:v>Mixtures</c:v>
                </c:pt>
                <c:pt idx="3">
                  <c:v>Leaves, Roots</c:v>
                </c:pt>
                <c:pt idx="4">
                  <c:v>Leaves</c:v>
                </c:pt>
              </c:strCache>
            </c:strRef>
          </c:cat>
          <c:val>
            <c:numRef>
              <c:f>Pivot_Tables!$F$21:$F$26</c:f>
              <c:numCache>
                <c:formatCode>General</c:formatCode>
                <c:ptCount val="5"/>
                <c:pt idx="0">
                  <c:v>10</c:v>
                </c:pt>
                <c:pt idx="1">
                  <c:v>11</c:v>
                </c:pt>
                <c:pt idx="2">
                  <c:v>19</c:v>
                </c:pt>
                <c:pt idx="3">
                  <c:v>4</c:v>
                </c:pt>
                <c:pt idx="4">
                  <c:v>11</c:v>
                </c:pt>
              </c:numCache>
            </c:numRef>
          </c:val>
          <c:extLst>
            <c:ext xmlns:c16="http://schemas.microsoft.com/office/drawing/2014/chart" uri="{C3380CC4-5D6E-409C-BE32-E72D297353CC}">
              <c16:uniqueId val="{00000000-F601-4D76-9933-3A62076E74FF}"/>
            </c:ext>
          </c:extLst>
        </c:ser>
        <c:dLbls>
          <c:dLblPos val="outEnd"/>
          <c:showLegendKey val="0"/>
          <c:showVal val="1"/>
          <c:showCatName val="0"/>
          <c:showSerName val="0"/>
          <c:showPercent val="0"/>
          <c:showBubbleSize val="0"/>
        </c:dLbls>
        <c:gapWidth val="182"/>
        <c:axId val="219270287"/>
        <c:axId val="219269807"/>
      </c:barChart>
      <c:catAx>
        <c:axId val="21927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69807"/>
        <c:crosses val="autoZero"/>
        <c:auto val="1"/>
        <c:lblAlgn val="ctr"/>
        <c:lblOffset val="100"/>
        <c:noMultiLvlLbl val="0"/>
      </c:catAx>
      <c:valAx>
        <c:axId val="219269807"/>
        <c:scaling>
          <c:orientation val="minMax"/>
        </c:scaling>
        <c:delete val="1"/>
        <c:axPos val="b"/>
        <c:numFmt formatCode="General" sourceLinked="1"/>
        <c:majorTickMark val="none"/>
        <c:minorTickMark val="none"/>
        <c:tickLblPos val="nextTo"/>
        <c:crossAx val="21927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Herbal Remedies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Pivot_Tables!$J$20</c:f>
              <c:strCache>
                <c:ptCount val="1"/>
                <c:pt idx="0">
                  <c:v>Total</c:v>
                </c:pt>
              </c:strCache>
            </c:strRef>
          </c:tx>
          <c:spPr>
            <a:solidFill>
              <a:srgbClr val="81C7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Pivot_Tables!$I$21:$I$25</c:f>
              <c:strCache>
                <c:ptCount val="4"/>
                <c:pt idx="0">
                  <c:v>Daily</c:v>
                </c:pt>
                <c:pt idx="1">
                  <c:v>Occationally</c:v>
                </c:pt>
                <c:pt idx="2">
                  <c:v>Rarely</c:v>
                </c:pt>
                <c:pt idx="3">
                  <c:v>Weekly</c:v>
                </c:pt>
              </c:strCache>
            </c:strRef>
          </c:cat>
          <c:val>
            <c:numRef>
              <c:f>Pivot_Tables!$J$21:$J$25</c:f>
              <c:numCache>
                <c:formatCode>General</c:formatCode>
                <c:ptCount val="4"/>
                <c:pt idx="0">
                  <c:v>5</c:v>
                </c:pt>
                <c:pt idx="1">
                  <c:v>25</c:v>
                </c:pt>
                <c:pt idx="2">
                  <c:v>17</c:v>
                </c:pt>
                <c:pt idx="3">
                  <c:v>13</c:v>
                </c:pt>
              </c:numCache>
            </c:numRef>
          </c:val>
          <c:extLst>
            <c:ext xmlns:c16="http://schemas.microsoft.com/office/drawing/2014/chart" uri="{C3380CC4-5D6E-409C-BE32-E72D297353CC}">
              <c16:uniqueId val="{00000000-3332-41C1-A26B-432D28BF3655}"/>
            </c:ext>
          </c:extLst>
        </c:ser>
        <c:dLbls>
          <c:dLblPos val="outEnd"/>
          <c:showLegendKey val="0"/>
          <c:showVal val="1"/>
          <c:showCatName val="0"/>
          <c:showSerName val="0"/>
          <c:showPercent val="0"/>
          <c:showBubbleSize val="0"/>
        </c:dLbls>
        <c:gapWidth val="219"/>
        <c:overlap val="-27"/>
        <c:axId val="154034015"/>
        <c:axId val="154031615"/>
      </c:barChart>
      <c:catAx>
        <c:axId val="15403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615"/>
        <c:crosses val="autoZero"/>
        <c:auto val="1"/>
        <c:lblAlgn val="ctr"/>
        <c:lblOffset val="100"/>
        <c:noMultiLvlLbl val="0"/>
      </c:catAx>
      <c:valAx>
        <c:axId val="15403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Effectiveness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pieChart>
        <c:varyColors val="1"/>
        <c:ser>
          <c:idx val="0"/>
          <c:order val="0"/>
          <c:tx>
            <c:strRef>
              <c:f>Pivot_Tables!$J$38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A2A-4AFE-A39D-90DEF63764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A2A-4AFE-A39D-90DEF63764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01-4D74-A6B4-C2B0D3316B2B}"/>
              </c:ext>
            </c:extLst>
          </c:dPt>
          <c:dLbls>
            <c:dLbl>
              <c:idx val="0"/>
              <c:layout>
                <c:manualLayout>
                  <c:x val="-3.3552702841940348E-2"/>
                  <c:y val="-1.707380522014789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2A-4AFE-A39D-90DEF63764B3}"/>
                </c:ext>
              </c:extLst>
            </c:dLbl>
            <c:dLbl>
              <c:idx val="1"/>
              <c:layout>
                <c:manualLayout>
                  <c:x val="8.3881757104850106E-3"/>
                  <c:y val="8.536902610073908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A2A-4AFE-A39D-90DEF63764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Pivot_Tables!$I$39:$I$42</c:f>
              <c:strCache>
                <c:ptCount val="3"/>
                <c:pt idx="0">
                  <c:v>No</c:v>
                </c:pt>
                <c:pt idx="1">
                  <c:v>Not sure</c:v>
                </c:pt>
                <c:pt idx="2">
                  <c:v>Yes</c:v>
                </c:pt>
              </c:strCache>
            </c:strRef>
          </c:cat>
          <c:val>
            <c:numRef>
              <c:f>Pivot_Tables!$J$39:$J$42</c:f>
              <c:numCache>
                <c:formatCode>General</c:formatCode>
                <c:ptCount val="3"/>
                <c:pt idx="0">
                  <c:v>4</c:v>
                </c:pt>
                <c:pt idx="1">
                  <c:v>1</c:v>
                </c:pt>
                <c:pt idx="2">
                  <c:v>55</c:v>
                </c:pt>
              </c:numCache>
            </c:numRef>
          </c:val>
          <c:extLst>
            <c:ext xmlns:c16="http://schemas.microsoft.com/office/drawing/2014/chart" uri="{C3380CC4-5D6E-409C-BE32-E72D297353CC}">
              <c16:uniqueId val="{00000000-BA2A-4AFE-A39D-90DEF63764B3}"/>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Side Effects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E7D32"/>
          </a:solidFill>
          <a:ln w="19050">
            <a:solidFill>
              <a:schemeClr val="lt1"/>
            </a:solidFill>
          </a:ln>
          <a:effectLst/>
        </c:spPr>
      </c:pivotFmt>
      <c:pivotFmt>
        <c:idx val="2"/>
        <c:spPr>
          <a:solidFill>
            <a:srgbClr val="81C784"/>
          </a:solidFill>
          <a:ln w="19050">
            <a:solidFill>
              <a:schemeClr val="lt1"/>
            </a:solidFill>
          </a:ln>
          <a:effectLst/>
        </c:spPr>
      </c:pivotFmt>
    </c:pivotFmts>
    <c:plotArea>
      <c:layout/>
      <c:pieChart>
        <c:varyColors val="1"/>
        <c:ser>
          <c:idx val="0"/>
          <c:order val="0"/>
          <c:tx>
            <c:strRef>
              <c:f>Pivot_Tables!$B$56</c:f>
              <c:strCache>
                <c:ptCount val="1"/>
                <c:pt idx="0">
                  <c:v>Total</c:v>
                </c:pt>
              </c:strCache>
            </c:strRef>
          </c:tx>
          <c:dPt>
            <c:idx val="0"/>
            <c:bubble3D val="0"/>
            <c:spPr>
              <a:solidFill>
                <a:srgbClr val="2E7D32"/>
              </a:solidFill>
              <a:ln w="19050">
                <a:solidFill>
                  <a:schemeClr val="lt1"/>
                </a:solidFill>
              </a:ln>
              <a:effectLst/>
            </c:spPr>
            <c:extLst>
              <c:ext xmlns:c16="http://schemas.microsoft.com/office/drawing/2014/chart" uri="{C3380CC4-5D6E-409C-BE32-E72D297353CC}">
                <c16:uniqueId val="{00000002-E5FB-4F00-8B16-BD00F6FA36C0}"/>
              </c:ext>
            </c:extLst>
          </c:dPt>
          <c:dPt>
            <c:idx val="1"/>
            <c:bubble3D val="0"/>
            <c:spPr>
              <a:solidFill>
                <a:srgbClr val="81C784"/>
              </a:solidFill>
              <a:ln w="19050">
                <a:solidFill>
                  <a:schemeClr val="lt1"/>
                </a:solidFill>
              </a:ln>
              <a:effectLst/>
            </c:spPr>
            <c:extLst>
              <c:ext xmlns:c16="http://schemas.microsoft.com/office/drawing/2014/chart" uri="{C3380CC4-5D6E-409C-BE32-E72D297353CC}">
                <c16:uniqueId val="{00000003-E5FB-4F00-8B16-BD00F6FA36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Pivot_Tables!$A$57:$A$59</c:f>
              <c:strCache>
                <c:ptCount val="2"/>
                <c:pt idx="0">
                  <c:v>No</c:v>
                </c:pt>
                <c:pt idx="1">
                  <c:v>Yes</c:v>
                </c:pt>
              </c:strCache>
            </c:strRef>
          </c:cat>
          <c:val>
            <c:numRef>
              <c:f>Pivot_Tables!$B$57:$B$59</c:f>
              <c:numCache>
                <c:formatCode>General</c:formatCode>
                <c:ptCount val="2"/>
                <c:pt idx="0">
                  <c:v>38</c:v>
                </c:pt>
                <c:pt idx="1">
                  <c:v>22</c:v>
                </c:pt>
              </c:numCache>
            </c:numRef>
          </c:val>
          <c:extLst>
            <c:ext xmlns:c16="http://schemas.microsoft.com/office/drawing/2014/chart" uri="{C3380CC4-5D6E-409C-BE32-E72D297353CC}">
              <c16:uniqueId val="{00000000-E5FB-4F00-8B16-BD00F6FA36C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E7D32"/>
          </a:solidFill>
          <a:ln w="19050">
            <a:solidFill>
              <a:schemeClr val="lt1"/>
            </a:solidFill>
          </a:ln>
          <a:effectLst/>
        </c:spPr>
      </c:pivotFmt>
      <c:pivotFmt>
        <c:idx val="2"/>
        <c:spPr>
          <a:solidFill>
            <a:srgbClr val="81C784"/>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81C784"/>
          </a:solidFill>
          <a:ln w="19050">
            <a:solidFill>
              <a:schemeClr val="lt1"/>
            </a:solidFill>
          </a:ln>
          <a:effectLst/>
        </c:spPr>
      </c:pivotFmt>
      <c:pivotFmt>
        <c:idx val="5"/>
        <c:spPr>
          <a:solidFill>
            <a:srgbClr val="2E7D32"/>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81C784"/>
          </a:solidFill>
          <a:ln w="19050">
            <a:solidFill>
              <a:schemeClr val="lt1"/>
            </a:solidFill>
          </a:ln>
          <a:effectLst/>
        </c:spPr>
      </c:pivotFmt>
      <c:pivotFmt>
        <c:idx val="8"/>
        <c:spPr>
          <a:solidFill>
            <a:srgbClr val="2E7D32"/>
          </a:solidFill>
          <a:ln w="19050">
            <a:solidFill>
              <a:schemeClr val="lt1"/>
            </a:solidFill>
          </a:ln>
          <a:effectLst/>
        </c:spPr>
      </c:pivotFmt>
    </c:pivotFmts>
    <c:plotArea>
      <c:layout/>
      <c:pieChart>
        <c:varyColors val="1"/>
        <c:ser>
          <c:idx val="0"/>
          <c:order val="0"/>
          <c:tx>
            <c:strRef>
              <c:f>Pivot_Tables!$B$3</c:f>
              <c:strCache>
                <c:ptCount val="1"/>
                <c:pt idx="0">
                  <c:v>Total</c:v>
                </c:pt>
              </c:strCache>
            </c:strRef>
          </c:tx>
          <c:dPt>
            <c:idx val="0"/>
            <c:bubble3D val="0"/>
            <c:spPr>
              <a:solidFill>
                <a:srgbClr val="81C784"/>
              </a:solidFill>
              <a:ln w="19050">
                <a:solidFill>
                  <a:schemeClr val="lt1"/>
                </a:solidFill>
              </a:ln>
              <a:effectLst/>
            </c:spPr>
            <c:extLst>
              <c:ext xmlns:c16="http://schemas.microsoft.com/office/drawing/2014/chart" uri="{C3380CC4-5D6E-409C-BE32-E72D297353CC}">
                <c16:uniqueId val="{00000001-B957-4B0B-95CF-9EF732474F73}"/>
              </c:ext>
            </c:extLst>
          </c:dPt>
          <c:dPt>
            <c:idx val="1"/>
            <c:bubble3D val="0"/>
            <c:spPr>
              <a:solidFill>
                <a:srgbClr val="2E7D32"/>
              </a:solidFill>
              <a:ln w="19050">
                <a:solidFill>
                  <a:schemeClr val="lt1"/>
                </a:solidFill>
              </a:ln>
              <a:effectLst/>
            </c:spPr>
            <c:extLst>
              <c:ext xmlns:c16="http://schemas.microsoft.com/office/drawing/2014/chart" uri="{C3380CC4-5D6E-409C-BE32-E72D297353CC}">
                <c16:uniqueId val="{00000003-B957-4B0B-95CF-9EF732474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Pivot_Tables!$A$4:$A$6</c:f>
              <c:strCache>
                <c:ptCount val="2"/>
                <c:pt idx="0">
                  <c:v>Female</c:v>
                </c:pt>
                <c:pt idx="1">
                  <c:v>Male</c:v>
                </c:pt>
              </c:strCache>
            </c:strRef>
          </c:cat>
          <c:val>
            <c:numRef>
              <c:f>Pivot_Tables!$B$4:$B$6</c:f>
              <c:numCache>
                <c:formatCode>General</c:formatCode>
                <c:ptCount val="2"/>
                <c:pt idx="0">
                  <c:v>18</c:v>
                </c:pt>
                <c:pt idx="1">
                  <c:v>42</c:v>
                </c:pt>
              </c:numCache>
            </c:numRef>
          </c:val>
          <c:extLst>
            <c:ext xmlns:c16="http://schemas.microsoft.com/office/drawing/2014/chart" uri="{C3380CC4-5D6E-409C-BE32-E72D297353CC}">
              <c16:uniqueId val="{00000004-B957-4B0B-95CF-9EF732474F7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Pivot_Tables!$F$3</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Pivot_Tables!$E$4:$E$6</c:f>
              <c:strCache>
                <c:ptCount val="2"/>
                <c:pt idx="0">
                  <c:v>18 - 30</c:v>
                </c:pt>
                <c:pt idx="1">
                  <c:v>31 - 50</c:v>
                </c:pt>
              </c:strCache>
            </c:strRef>
          </c:cat>
          <c:val>
            <c:numRef>
              <c:f>Pivot_Tables!$F$4:$F$6</c:f>
              <c:numCache>
                <c:formatCode>General</c:formatCode>
                <c:ptCount val="2"/>
                <c:pt idx="0">
                  <c:v>36</c:v>
                </c:pt>
                <c:pt idx="1">
                  <c:v>24</c:v>
                </c:pt>
              </c:numCache>
            </c:numRef>
          </c:val>
          <c:extLst>
            <c:ext xmlns:c16="http://schemas.microsoft.com/office/drawing/2014/chart" uri="{C3380CC4-5D6E-409C-BE32-E72D297353CC}">
              <c16:uniqueId val="{00000000-B152-45E4-861F-33EFC32E4F8C}"/>
            </c:ext>
          </c:extLst>
        </c:ser>
        <c:dLbls>
          <c:dLblPos val="outEnd"/>
          <c:showLegendKey val="0"/>
          <c:showVal val="1"/>
          <c:showCatName val="0"/>
          <c:showSerName val="0"/>
          <c:showPercent val="0"/>
          <c:showBubbleSize val="0"/>
        </c:dLbls>
        <c:gapWidth val="219"/>
        <c:overlap val="-27"/>
        <c:axId val="2006165695"/>
        <c:axId val="2006164735"/>
      </c:barChart>
      <c:catAx>
        <c:axId val="200616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64735"/>
        <c:crosses val="autoZero"/>
        <c:auto val="1"/>
        <c:lblAlgn val="ctr"/>
        <c:lblOffset val="100"/>
        <c:noMultiLvlLbl val="0"/>
      </c:catAx>
      <c:valAx>
        <c:axId val="200616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6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Frequently Used Herbal</a:t>
            </a:r>
          </a:p>
          <a:p>
            <a:pPr>
              <a:defRPr/>
            </a:pPr>
            <a:r>
              <a:rPr lang="en-US"/>
              <a:t>Remedies</a:t>
            </a:r>
          </a:p>
        </c:rich>
      </c:tx>
      <c:layout>
        <c:manualLayout>
          <c:xMode val="edge"/>
          <c:yMode val="edge"/>
          <c:x val="0.17415194586985147"/>
          <c:y val="3.9975385235233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Pivot_Tables!$F$20</c:f>
              <c:strCache>
                <c:ptCount val="1"/>
                <c:pt idx="0">
                  <c:v>Total</c:v>
                </c:pt>
              </c:strCache>
            </c:strRef>
          </c:tx>
          <c:spPr>
            <a:solidFill>
              <a:srgbClr val="2E7D3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Pivot_Tables!$E$21:$E$26</c:f>
              <c:strCache>
                <c:ptCount val="5"/>
                <c:pt idx="0">
                  <c:v>Roots</c:v>
                </c:pt>
                <c:pt idx="1">
                  <c:v>Others</c:v>
                </c:pt>
                <c:pt idx="2">
                  <c:v>Mixtures</c:v>
                </c:pt>
                <c:pt idx="3">
                  <c:v>Leaves, Roots</c:v>
                </c:pt>
                <c:pt idx="4">
                  <c:v>Leaves</c:v>
                </c:pt>
              </c:strCache>
            </c:strRef>
          </c:cat>
          <c:val>
            <c:numRef>
              <c:f>Pivot_Tables!$F$21:$F$26</c:f>
              <c:numCache>
                <c:formatCode>General</c:formatCode>
                <c:ptCount val="5"/>
                <c:pt idx="0">
                  <c:v>10</c:v>
                </c:pt>
                <c:pt idx="1">
                  <c:v>11</c:v>
                </c:pt>
                <c:pt idx="2">
                  <c:v>19</c:v>
                </c:pt>
                <c:pt idx="3">
                  <c:v>4</c:v>
                </c:pt>
                <c:pt idx="4">
                  <c:v>11</c:v>
                </c:pt>
              </c:numCache>
            </c:numRef>
          </c:val>
          <c:extLst>
            <c:ext xmlns:c16="http://schemas.microsoft.com/office/drawing/2014/chart" uri="{C3380CC4-5D6E-409C-BE32-E72D297353CC}">
              <c16:uniqueId val="{00000000-53C8-4918-9447-C84330FD22D3}"/>
            </c:ext>
          </c:extLst>
        </c:ser>
        <c:dLbls>
          <c:dLblPos val="outEnd"/>
          <c:showLegendKey val="0"/>
          <c:showVal val="1"/>
          <c:showCatName val="0"/>
          <c:showSerName val="0"/>
          <c:showPercent val="0"/>
          <c:showBubbleSize val="0"/>
        </c:dLbls>
        <c:gapWidth val="182"/>
        <c:axId val="219270287"/>
        <c:axId val="219269807"/>
      </c:barChart>
      <c:catAx>
        <c:axId val="21927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69807"/>
        <c:crosses val="autoZero"/>
        <c:auto val="1"/>
        <c:lblAlgn val="ctr"/>
        <c:lblOffset val="100"/>
        <c:noMultiLvlLbl val="0"/>
      </c:catAx>
      <c:valAx>
        <c:axId val="219269807"/>
        <c:scaling>
          <c:orientation val="minMax"/>
        </c:scaling>
        <c:delete val="1"/>
        <c:axPos val="b"/>
        <c:numFmt formatCode="General" sourceLinked="1"/>
        <c:majorTickMark val="none"/>
        <c:minorTickMark val="none"/>
        <c:tickLblPos val="nextTo"/>
        <c:crossAx val="21927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Herbal Remedies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Pivot_Tables!$J$20</c:f>
              <c:strCache>
                <c:ptCount val="1"/>
                <c:pt idx="0">
                  <c:v>Total</c:v>
                </c:pt>
              </c:strCache>
            </c:strRef>
          </c:tx>
          <c:spPr>
            <a:solidFill>
              <a:srgbClr val="81C7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Pivot_Tables!$I$21:$I$25</c:f>
              <c:strCache>
                <c:ptCount val="4"/>
                <c:pt idx="0">
                  <c:v>Daily</c:v>
                </c:pt>
                <c:pt idx="1">
                  <c:v>Occationally</c:v>
                </c:pt>
                <c:pt idx="2">
                  <c:v>Rarely</c:v>
                </c:pt>
                <c:pt idx="3">
                  <c:v>Weekly</c:v>
                </c:pt>
              </c:strCache>
            </c:strRef>
          </c:cat>
          <c:val>
            <c:numRef>
              <c:f>Pivot_Tables!$J$21:$J$25</c:f>
              <c:numCache>
                <c:formatCode>General</c:formatCode>
                <c:ptCount val="4"/>
                <c:pt idx="0">
                  <c:v>5</c:v>
                </c:pt>
                <c:pt idx="1">
                  <c:v>25</c:v>
                </c:pt>
                <c:pt idx="2">
                  <c:v>17</c:v>
                </c:pt>
                <c:pt idx="3">
                  <c:v>13</c:v>
                </c:pt>
              </c:numCache>
            </c:numRef>
          </c:val>
          <c:extLst>
            <c:ext xmlns:c16="http://schemas.microsoft.com/office/drawing/2014/chart" uri="{C3380CC4-5D6E-409C-BE32-E72D297353CC}">
              <c16:uniqueId val="{00000000-C245-4844-A671-06E605527A85}"/>
            </c:ext>
          </c:extLst>
        </c:ser>
        <c:dLbls>
          <c:dLblPos val="outEnd"/>
          <c:showLegendKey val="0"/>
          <c:showVal val="1"/>
          <c:showCatName val="0"/>
          <c:showSerName val="0"/>
          <c:showPercent val="0"/>
          <c:showBubbleSize val="0"/>
        </c:dLbls>
        <c:gapWidth val="219"/>
        <c:overlap val="-27"/>
        <c:axId val="154034015"/>
        <c:axId val="154031615"/>
      </c:barChart>
      <c:catAx>
        <c:axId val="15403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615"/>
        <c:crosses val="autoZero"/>
        <c:auto val="1"/>
        <c:lblAlgn val="ctr"/>
        <c:lblOffset val="100"/>
        <c:noMultiLvlLbl val="0"/>
      </c:catAx>
      <c:valAx>
        <c:axId val="15403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Effectiveness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pieChart>
        <c:varyColors val="1"/>
        <c:ser>
          <c:idx val="0"/>
          <c:order val="0"/>
          <c:tx>
            <c:strRef>
              <c:f>Pivot_Tables!$J$38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AE-4131-9324-E36F305C04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AE-4131-9324-E36F305C04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AE-4131-9324-E36F305C0473}"/>
              </c:ext>
            </c:extLst>
          </c:dPt>
          <c:dLbls>
            <c:dLbl>
              <c:idx val="0"/>
              <c:layout>
                <c:manualLayout>
                  <c:x val="-3.3552702841940348E-2"/>
                  <c:y val="-1.707380522014789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AE-4131-9324-E36F305C0473}"/>
                </c:ext>
              </c:extLst>
            </c:dLbl>
            <c:dLbl>
              <c:idx val="1"/>
              <c:layout>
                <c:manualLayout>
                  <c:x val="8.3881757104850106E-3"/>
                  <c:y val="8.536902610073908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AE-4131-9324-E36F305C04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Pivot_Tables!$I$39:$I$42</c:f>
              <c:strCache>
                <c:ptCount val="3"/>
                <c:pt idx="0">
                  <c:v>No</c:v>
                </c:pt>
                <c:pt idx="1">
                  <c:v>Not sure</c:v>
                </c:pt>
                <c:pt idx="2">
                  <c:v>Yes</c:v>
                </c:pt>
              </c:strCache>
            </c:strRef>
          </c:cat>
          <c:val>
            <c:numRef>
              <c:f>Pivot_Tables!$J$39:$J$42</c:f>
              <c:numCache>
                <c:formatCode>General</c:formatCode>
                <c:ptCount val="3"/>
                <c:pt idx="0">
                  <c:v>4</c:v>
                </c:pt>
                <c:pt idx="1">
                  <c:v>1</c:v>
                </c:pt>
                <c:pt idx="2">
                  <c:v>55</c:v>
                </c:pt>
              </c:numCache>
            </c:numRef>
          </c:val>
          <c:extLst>
            <c:ext xmlns:c16="http://schemas.microsoft.com/office/drawing/2014/chart" uri="{C3380CC4-5D6E-409C-BE32-E72D297353CC}">
              <c16:uniqueId val="{00000006-55AE-4131-9324-E36F305C0473}"/>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Side Effects Analysis</a:t>
            </a:r>
            <a:endParaRPr lang="en-US"/>
          </a:p>
        </c:rich>
      </c:tx>
      <c:layout>
        <c:manualLayout>
          <c:xMode val="edge"/>
          <c:yMode val="edge"/>
          <c:x val="0.373560472163211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E7D32"/>
          </a:solidFill>
          <a:ln w="19050">
            <a:solidFill>
              <a:schemeClr val="lt1"/>
            </a:solidFill>
          </a:ln>
          <a:effectLst/>
        </c:spPr>
      </c:pivotFmt>
      <c:pivotFmt>
        <c:idx val="2"/>
        <c:spPr>
          <a:solidFill>
            <a:srgbClr val="81C784"/>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2E7D32"/>
          </a:solidFill>
          <a:ln w="19050">
            <a:solidFill>
              <a:schemeClr val="lt1"/>
            </a:solidFill>
          </a:ln>
          <a:effectLst/>
        </c:spPr>
      </c:pivotFmt>
      <c:pivotFmt>
        <c:idx val="5"/>
        <c:spPr>
          <a:solidFill>
            <a:srgbClr val="81C78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E7D32"/>
          </a:solidFill>
          <a:ln w="19050">
            <a:solidFill>
              <a:schemeClr val="lt1"/>
            </a:solidFill>
          </a:ln>
          <a:effectLst/>
        </c:spPr>
      </c:pivotFmt>
      <c:pivotFmt>
        <c:idx val="8"/>
        <c:spPr>
          <a:solidFill>
            <a:srgbClr val="81C784"/>
          </a:solidFill>
          <a:ln w="19050">
            <a:solidFill>
              <a:schemeClr val="lt1"/>
            </a:solidFill>
          </a:ln>
          <a:effectLst/>
        </c:spPr>
      </c:pivotFmt>
    </c:pivotFmts>
    <c:plotArea>
      <c:layout/>
      <c:pieChart>
        <c:varyColors val="1"/>
        <c:ser>
          <c:idx val="0"/>
          <c:order val="0"/>
          <c:tx>
            <c:strRef>
              <c:f>Pivot_Tables!$B$56</c:f>
              <c:strCache>
                <c:ptCount val="1"/>
                <c:pt idx="0">
                  <c:v>Total</c:v>
                </c:pt>
              </c:strCache>
            </c:strRef>
          </c:tx>
          <c:dPt>
            <c:idx val="0"/>
            <c:bubble3D val="0"/>
            <c:spPr>
              <a:solidFill>
                <a:srgbClr val="2E7D32"/>
              </a:solidFill>
              <a:ln w="19050">
                <a:solidFill>
                  <a:schemeClr val="lt1"/>
                </a:solidFill>
              </a:ln>
              <a:effectLst/>
            </c:spPr>
            <c:extLst>
              <c:ext xmlns:c16="http://schemas.microsoft.com/office/drawing/2014/chart" uri="{C3380CC4-5D6E-409C-BE32-E72D297353CC}">
                <c16:uniqueId val="{00000001-7ADD-441F-B1BE-72F0C637C0DB}"/>
              </c:ext>
            </c:extLst>
          </c:dPt>
          <c:dPt>
            <c:idx val="1"/>
            <c:bubble3D val="0"/>
            <c:spPr>
              <a:solidFill>
                <a:srgbClr val="81C784"/>
              </a:solidFill>
              <a:ln w="19050">
                <a:solidFill>
                  <a:schemeClr val="lt1"/>
                </a:solidFill>
              </a:ln>
              <a:effectLst/>
            </c:spPr>
            <c:extLst>
              <c:ext xmlns:c16="http://schemas.microsoft.com/office/drawing/2014/chart" uri="{C3380CC4-5D6E-409C-BE32-E72D297353CC}">
                <c16:uniqueId val="{00000003-7ADD-441F-B1BE-72F0C637C0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Pivot_Tables!$A$57:$A$59</c:f>
              <c:strCache>
                <c:ptCount val="2"/>
                <c:pt idx="0">
                  <c:v>No</c:v>
                </c:pt>
                <c:pt idx="1">
                  <c:v>Yes</c:v>
                </c:pt>
              </c:strCache>
            </c:strRef>
          </c:cat>
          <c:val>
            <c:numRef>
              <c:f>Pivot_Tables!$B$57:$B$59</c:f>
              <c:numCache>
                <c:formatCode>General</c:formatCode>
                <c:ptCount val="2"/>
                <c:pt idx="0">
                  <c:v>38</c:v>
                </c:pt>
                <c:pt idx="1">
                  <c:v>22</c:v>
                </c:pt>
              </c:numCache>
            </c:numRef>
          </c:val>
          <c:extLst>
            <c:ext xmlns:c16="http://schemas.microsoft.com/office/drawing/2014/chart" uri="{C3380CC4-5D6E-409C-BE32-E72D297353CC}">
              <c16:uniqueId val="{00000004-7ADD-441F-B1BE-72F0C637C0D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E7D32"/>
          </a:solidFill>
          <a:ln w="19050">
            <a:solidFill>
              <a:schemeClr val="lt1"/>
            </a:solidFill>
          </a:ln>
          <a:effectLst/>
        </c:spPr>
      </c:pivotFmt>
      <c:pivotFmt>
        <c:idx val="2"/>
        <c:spPr>
          <a:solidFill>
            <a:srgbClr val="81C784"/>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81C784"/>
          </a:solidFill>
          <a:ln w="19050">
            <a:solidFill>
              <a:schemeClr val="lt1"/>
            </a:solidFill>
          </a:ln>
          <a:effectLst/>
        </c:spPr>
      </c:pivotFmt>
      <c:pivotFmt>
        <c:idx val="5"/>
        <c:spPr>
          <a:solidFill>
            <a:srgbClr val="2E7D32"/>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81C784"/>
          </a:solidFill>
          <a:ln w="19050">
            <a:solidFill>
              <a:schemeClr val="lt1"/>
            </a:solidFill>
          </a:ln>
          <a:effectLst/>
        </c:spPr>
      </c:pivotFmt>
      <c:pivotFmt>
        <c:idx val="8"/>
        <c:spPr>
          <a:solidFill>
            <a:srgbClr val="2E7D32"/>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81C784"/>
          </a:solidFill>
          <a:ln w="19050">
            <a:solidFill>
              <a:schemeClr val="lt1"/>
            </a:solidFill>
          </a:ln>
          <a:effectLst/>
        </c:spPr>
      </c:pivotFmt>
      <c:pivotFmt>
        <c:idx val="11"/>
        <c:spPr>
          <a:solidFill>
            <a:srgbClr val="2E7D32"/>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81C784"/>
          </a:solidFill>
          <a:ln w="19050">
            <a:solidFill>
              <a:schemeClr val="lt1"/>
            </a:solidFill>
          </a:ln>
          <a:effectLst/>
        </c:spPr>
      </c:pivotFmt>
      <c:pivotFmt>
        <c:idx val="14"/>
        <c:spPr>
          <a:solidFill>
            <a:srgbClr val="2E7D32"/>
          </a:solidFill>
          <a:ln w="19050">
            <a:solidFill>
              <a:schemeClr val="lt1"/>
            </a:solidFill>
          </a:ln>
          <a:effectLst/>
        </c:spPr>
      </c:pivotFmt>
    </c:pivotFmts>
    <c:plotArea>
      <c:layout/>
      <c:pieChart>
        <c:varyColors val="1"/>
        <c:ser>
          <c:idx val="0"/>
          <c:order val="0"/>
          <c:tx>
            <c:strRef>
              <c:f>Pivot_Tables!$B$3</c:f>
              <c:strCache>
                <c:ptCount val="1"/>
                <c:pt idx="0">
                  <c:v>Total</c:v>
                </c:pt>
              </c:strCache>
            </c:strRef>
          </c:tx>
          <c:dPt>
            <c:idx val="0"/>
            <c:bubble3D val="0"/>
            <c:spPr>
              <a:solidFill>
                <a:srgbClr val="81C784"/>
              </a:solidFill>
              <a:ln w="19050">
                <a:solidFill>
                  <a:schemeClr val="lt1"/>
                </a:solidFill>
              </a:ln>
              <a:effectLst/>
            </c:spPr>
            <c:extLst>
              <c:ext xmlns:c16="http://schemas.microsoft.com/office/drawing/2014/chart" uri="{C3380CC4-5D6E-409C-BE32-E72D297353CC}">
                <c16:uniqueId val="{00000001-3120-477E-A317-CE3A43098F7F}"/>
              </c:ext>
            </c:extLst>
          </c:dPt>
          <c:dPt>
            <c:idx val="1"/>
            <c:bubble3D val="0"/>
            <c:spPr>
              <a:solidFill>
                <a:srgbClr val="2E7D32"/>
              </a:solidFill>
              <a:ln w="19050">
                <a:solidFill>
                  <a:schemeClr val="lt1"/>
                </a:solidFill>
              </a:ln>
              <a:effectLst/>
            </c:spPr>
            <c:extLst>
              <c:ext xmlns:c16="http://schemas.microsoft.com/office/drawing/2014/chart" uri="{C3380CC4-5D6E-409C-BE32-E72D297353CC}">
                <c16:uniqueId val="{00000003-3120-477E-A317-CE3A43098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Pivot_Tables!$A$4:$A$6</c:f>
              <c:strCache>
                <c:ptCount val="2"/>
                <c:pt idx="0">
                  <c:v>Female</c:v>
                </c:pt>
                <c:pt idx="1">
                  <c:v>Male</c:v>
                </c:pt>
              </c:strCache>
            </c:strRef>
          </c:cat>
          <c:val>
            <c:numRef>
              <c:f>Pivot_Tables!$B$4:$B$6</c:f>
              <c:numCache>
                <c:formatCode>General</c:formatCode>
                <c:ptCount val="2"/>
                <c:pt idx="0">
                  <c:v>18</c:v>
                </c:pt>
                <c:pt idx="1">
                  <c:v>42</c:v>
                </c:pt>
              </c:numCache>
            </c:numRef>
          </c:val>
          <c:extLst>
            <c:ext xmlns:c16="http://schemas.microsoft.com/office/drawing/2014/chart" uri="{C3380CC4-5D6E-409C-BE32-E72D297353CC}">
              <c16:uniqueId val="{00000004-3120-477E-A317-CE3A43098F7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81C784">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Pivot_Tables!$F$3</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Pivot_Tables!$E$4:$E$6</c:f>
              <c:strCache>
                <c:ptCount val="2"/>
                <c:pt idx="0">
                  <c:v>18 - 30</c:v>
                </c:pt>
                <c:pt idx="1">
                  <c:v>31 - 50</c:v>
                </c:pt>
              </c:strCache>
            </c:strRef>
          </c:cat>
          <c:val>
            <c:numRef>
              <c:f>Pivot_Tables!$F$4:$F$6</c:f>
              <c:numCache>
                <c:formatCode>General</c:formatCode>
                <c:ptCount val="2"/>
                <c:pt idx="0">
                  <c:v>36</c:v>
                </c:pt>
                <c:pt idx="1">
                  <c:v>24</c:v>
                </c:pt>
              </c:numCache>
            </c:numRef>
          </c:val>
          <c:extLst>
            <c:ext xmlns:c16="http://schemas.microsoft.com/office/drawing/2014/chart" uri="{C3380CC4-5D6E-409C-BE32-E72D297353CC}">
              <c16:uniqueId val="{00000000-AF06-48FD-8AF7-B061CA847718}"/>
            </c:ext>
          </c:extLst>
        </c:ser>
        <c:dLbls>
          <c:dLblPos val="outEnd"/>
          <c:showLegendKey val="0"/>
          <c:showVal val="1"/>
          <c:showCatName val="0"/>
          <c:showSerName val="0"/>
          <c:showPercent val="0"/>
          <c:showBubbleSize val="0"/>
        </c:dLbls>
        <c:gapWidth val="219"/>
        <c:overlap val="-27"/>
        <c:axId val="2006165695"/>
        <c:axId val="2006164735"/>
      </c:barChart>
      <c:catAx>
        <c:axId val="200616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64735"/>
        <c:crosses val="autoZero"/>
        <c:auto val="1"/>
        <c:lblAlgn val="ctr"/>
        <c:lblOffset val="100"/>
        <c:noMultiLvlLbl val="0"/>
      </c:catAx>
      <c:valAx>
        <c:axId val="200616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6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81C784">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Frequently Used Herbal</a:t>
            </a:r>
          </a:p>
          <a:p>
            <a:pPr>
              <a:defRPr/>
            </a:pPr>
            <a:r>
              <a:rPr lang="en-US"/>
              <a:t>Remedies</a:t>
            </a:r>
          </a:p>
        </c:rich>
      </c:tx>
      <c:layout>
        <c:manualLayout>
          <c:xMode val="edge"/>
          <c:yMode val="edge"/>
          <c:x val="0.17415194586985147"/>
          <c:y val="3.9975385235233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D32"/>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Pivot_Tables!$F$20</c:f>
              <c:strCache>
                <c:ptCount val="1"/>
                <c:pt idx="0">
                  <c:v>Total</c:v>
                </c:pt>
              </c:strCache>
            </c:strRef>
          </c:tx>
          <c:spPr>
            <a:solidFill>
              <a:srgbClr val="2E7D3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Pivot_Tables!$E$21:$E$26</c:f>
              <c:strCache>
                <c:ptCount val="5"/>
                <c:pt idx="0">
                  <c:v>Roots</c:v>
                </c:pt>
                <c:pt idx="1">
                  <c:v>Others</c:v>
                </c:pt>
                <c:pt idx="2">
                  <c:v>Mixtures</c:v>
                </c:pt>
                <c:pt idx="3">
                  <c:v>Leaves, Roots</c:v>
                </c:pt>
                <c:pt idx="4">
                  <c:v>Leaves</c:v>
                </c:pt>
              </c:strCache>
            </c:strRef>
          </c:cat>
          <c:val>
            <c:numRef>
              <c:f>Pivot_Tables!$F$21:$F$26</c:f>
              <c:numCache>
                <c:formatCode>General</c:formatCode>
                <c:ptCount val="5"/>
                <c:pt idx="0">
                  <c:v>10</c:v>
                </c:pt>
                <c:pt idx="1">
                  <c:v>11</c:v>
                </c:pt>
                <c:pt idx="2">
                  <c:v>19</c:v>
                </c:pt>
                <c:pt idx="3">
                  <c:v>4</c:v>
                </c:pt>
                <c:pt idx="4">
                  <c:v>11</c:v>
                </c:pt>
              </c:numCache>
            </c:numRef>
          </c:val>
          <c:extLst>
            <c:ext xmlns:c16="http://schemas.microsoft.com/office/drawing/2014/chart" uri="{C3380CC4-5D6E-409C-BE32-E72D297353CC}">
              <c16:uniqueId val="{00000000-6331-403C-B215-DA34CAB75A1B}"/>
            </c:ext>
          </c:extLst>
        </c:ser>
        <c:dLbls>
          <c:dLblPos val="outEnd"/>
          <c:showLegendKey val="0"/>
          <c:showVal val="1"/>
          <c:showCatName val="0"/>
          <c:showSerName val="0"/>
          <c:showPercent val="0"/>
          <c:showBubbleSize val="0"/>
        </c:dLbls>
        <c:gapWidth val="182"/>
        <c:axId val="219270287"/>
        <c:axId val="219269807"/>
      </c:barChart>
      <c:catAx>
        <c:axId val="21927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69807"/>
        <c:crosses val="autoZero"/>
        <c:auto val="1"/>
        <c:lblAlgn val="ctr"/>
        <c:lblOffset val="100"/>
        <c:noMultiLvlLbl val="0"/>
      </c:catAx>
      <c:valAx>
        <c:axId val="219269807"/>
        <c:scaling>
          <c:orientation val="minMax"/>
        </c:scaling>
        <c:delete val="1"/>
        <c:axPos val="b"/>
        <c:numFmt formatCode="General" sourceLinked="1"/>
        <c:majorTickMark val="none"/>
        <c:minorTickMark val="none"/>
        <c:tickLblPos val="nextTo"/>
        <c:crossAx val="21927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81C784">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Herbal Remedies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1C7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Pivot_Tables!$J$20</c:f>
              <c:strCache>
                <c:ptCount val="1"/>
                <c:pt idx="0">
                  <c:v>Total</c:v>
                </c:pt>
              </c:strCache>
            </c:strRef>
          </c:tx>
          <c:spPr>
            <a:solidFill>
              <a:srgbClr val="81C7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Pivot_Tables!$I$21:$I$25</c:f>
              <c:strCache>
                <c:ptCount val="4"/>
                <c:pt idx="0">
                  <c:v>Daily</c:v>
                </c:pt>
                <c:pt idx="1">
                  <c:v>Occationally</c:v>
                </c:pt>
                <c:pt idx="2">
                  <c:v>Rarely</c:v>
                </c:pt>
                <c:pt idx="3">
                  <c:v>Weekly</c:v>
                </c:pt>
              </c:strCache>
            </c:strRef>
          </c:cat>
          <c:val>
            <c:numRef>
              <c:f>Pivot_Tables!$J$21:$J$25</c:f>
              <c:numCache>
                <c:formatCode>General</c:formatCode>
                <c:ptCount val="4"/>
                <c:pt idx="0">
                  <c:v>5</c:v>
                </c:pt>
                <c:pt idx="1">
                  <c:v>25</c:v>
                </c:pt>
                <c:pt idx="2">
                  <c:v>17</c:v>
                </c:pt>
                <c:pt idx="3">
                  <c:v>13</c:v>
                </c:pt>
              </c:numCache>
            </c:numRef>
          </c:val>
          <c:extLst>
            <c:ext xmlns:c16="http://schemas.microsoft.com/office/drawing/2014/chart" uri="{C3380CC4-5D6E-409C-BE32-E72D297353CC}">
              <c16:uniqueId val="{00000000-861C-4E71-B5E4-B3BCF450ABC4}"/>
            </c:ext>
          </c:extLst>
        </c:ser>
        <c:dLbls>
          <c:dLblPos val="outEnd"/>
          <c:showLegendKey val="0"/>
          <c:showVal val="1"/>
          <c:showCatName val="0"/>
          <c:showSerName val="0"/>
          <c:showPercent val="0"/>
          <c:showBubbleSize val="0"/>
        </c:dLbls>
        <c:gapWidth val="219"/>
        <c:overlap val="-27"/>
        <c:axId val="154034015"/>
        <c:axId val="154031615"/>
      </c:barChart>
      <c:catAx>
        <c:axId val="15403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615"/>
        <c:crosses val="autoZero"/>
        <c:auto val="1"/>
        <c:lblAlgn val="ctr"/>
        <c:lblOffset val="100"/>
        <c:noMultiLvlLbl val="0"/>
      </c:catAx>
      <c:valAx>
        <c:axId val="15403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81C784">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Effectiveness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3552702841940348E-2"/>
              <c:y val="-1.7073805220147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881757104850106E-3"/>
              <c:y val="8.53690261007390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3.3552702841940348E-2"/>
              <c:y val="-1.707380522014789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3881757104850106E-3"/>
              <c:y val="8.5369026100739088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s>
    <c:plotArea>
      <c:layout/>
      <c:pieChart>
        <c:varyColors val="1"/>
        <c:ser>
          <c:idx val="0"/>
          <c:order val="0"/>
          <c:tx>
            <c:strRef>
              <c:f>Pivot_Tables!$J$38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1D-4559-A1E0-0CBE797BF6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1D-4559-A1E0-0CBE797BF6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1D-4559-A1E0-0CBE797BF6A2}"/>
              </c:ext>
            </c:extLst>
          </c:dPt>
          <c:dLbls>
            <c:dLbl>
              <c:idx val="0"/>
              <c:layout>
                <c:manualLayout>
                  <c:x val="-3.3552702841940348E-2"/>
                  <c:y val="-1.70738052201478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21D-4559-A1E0-0CBE797BF6A2}"/>
                </c:ext>
              </c:extLst>
            </c:dLbl>
            <c:dLbl>
              <c:idx val="1"/>
              <c:layout>
                <c:manualLayout>
                  <c:x val="8.3881757104850106E-3"/>
                  <c:y val="8.536902610073908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21D-4559-A1E0-0CBE797BF6A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Pivot_Tables!$I$39:$I$42</c:f>
              <c:strCache>
                <c:ptCount val="3"/>
                <c:pt idx="0">
                  <c:v>No</c:v>
                </c:pt>
                <c:pt idx="1">
                  <c:v>Not sure</c:v>
                </c:pt>
                <c:pt idx="2">
                  <c:v>Yes</c:v>
                </c:pt>
              </c:strCache>
            </c:strRef>
          </c:cat>
          <c:val>
            <c:numRef>
              <c:f>Pivot_Tables!$J$39:$J$42</c:f>
              <c:numCache>
                <c:formatCode>General</c:formatCode>
                <c:ptCount val="3"/>
                <c:pt idx="0">
                  <c:v>4</c:v>
                </c:pt>
                <c:pt idx="1">
                  <c:v>1</c:v>
                </c:pt>
                <c:pt idx="2">
                  <c:v>55</c:v>
                </c:pt>
              </c:numCache>
            </c:numRef>
          </c:val>
          <c:extLst>
            <c:ext xmlns:c16="http://schemas.microsoft.com/office/drawing/2014/chart" uri="{C3380CC4-5D6E-409C-BE32-E72D297353CC}">
              <c16:uniqueId val="{00000006-E21D-4559-A1E0-0CBE797BF6A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81C784">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[Herbal_Remedies_Field_Survey_Analysis.xlsx]Pivot_Tables!PivotTable10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Side Effects Analysis</a:t>
            </a:r>
            <a:endParaRPr lang="en-US"/>
          </a:p>
        </c:rich>
      </c:tx>
      <c:layout>
        <c:manualLayout>
          <c:xMode val="edge"/>
          <c:yMode val="edge"/>
          <c:x val="0.373560472163211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E7D32"/>
          </a:solidFill>
          <a:ln w="19050">
            <a:solidFill>
              <a:schemeClr val="lt1"/>
            </a:solidFill>
          </a:ln>
          <a:effectLst/>
        </c:spPr>
      </c:pivotFmt>
      <c:pivotFmt>
        <c:idx val="2"/>
        <c:spPr>
          <a:solidFill>
            <a:srgbClr val="81C784"/>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2E7D32"/>
          </a:solidFill>
          <a:ln w="19050">
            <a:solidFill>
              <a:schemeClr val="lt1"/>
            </a:solidFill>
          </a:ln>
          <a:effectLst/>
        </c:spPr>
      </c:pivotFmt>
      <c:pivotFmt>
        <c:idx val="5"/>
        <c:spPr>
          <a:solidFill>
            <a:srgbClr val="81C78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E7D32"/>
          </a:solidFill>
          <a:ln w="19050">
            <a:solidFill>
              <a:schemeClr val="lt1"/>
            </a:solidFill>
          </a:ln>
          <a:effectLst/>
        </c:spPr>
      </c:pivotFmt>
      <c:pivotFmt>
        <c:idx val="8"/>
        <c:spPr>
          <a:solidFill>
            <a:srgbClr val="81C784"/>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2E7D32"/>
          </a:solidFill>
          <a:ln w="19050">
            <a:solidFill>
              <a:schemeClr val="lt1"/>
            </a:solidFill>
          </a:ln>
          <a:effectLst/>
        </c:spPr>
      </c:pivotFmt>
      <c:pivotFmt>
        <c:idx val="11"/>
        <c:spPr>
          <a:solidFill>
            <a:srgbClr val="81C784"/>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2E7D32"/>
          </a:solidFill>
          <a:ln w="19050">
            <a:solidFill>
              <a:schemeClr val="lt1"/>
            </a:solidFill>
          </a:ln>
          <a:effectLst/>
        </c:spPr>
      </c:pivotFmt>
      <c:pivotFmt>
        <c:idx val="14"/>
        <c:spPr>
          <a:solidFill>
            <a:srgbClr val="81C784"/>
          </a:solidFill>
          <a:ln w="19050">
            <a:solidFill>
              <a:schemeClr val="lt1"/>
            </a:solidFill>
          </a:ln>
          <a:effectLst/>
        </c:spPr>
      </c:pivotFmt>
    </c:pivotFmts>
    <c:plotArea>
      <c:layout/>
      <c:pieChart>
        <c:varyColors val="1"/>
        <c:ser>
          <c:idx val="0"/>
          <c:order val="0"/>
          <c:tx>
            <c:strRef>
              <c:f>Pivot_Tables!$B$56</c:f>
              <c:strCache>
                <c:ptCount val="1"/>
                <c:pt idx="0">
                  <c:v>Total</c:v>
                </c:pt>
              </c:strCache>
            </c:strRef>
          </c:tx>
          <c:dPt>
            <c:idx val="0"/>
            <c:bubble3D val="0"/>
            <c:spPr>
              <a:solidFill>
                <a:srgbClr val="2E7D32"/>
              </a:solidFill>
              <a:ln w="19050">
                <a:solidFill>
                  <a:schemeClr val="lt1"/>
                </a:solidFill>
              </a:ln>
              <a:effectLst/>
            </c:spPr>
            <c:extLst>
              <c:ext xmlns:c16="http://schemas.microsoft.com/office/drawing/2014/chart" uri="{C3380CC4-5D6E-409C-BE32-E72D297353CC}">
                <c16:uniqueId val="{00000001-234E-445A-97BD-B79E745FD70A}"/>
              </c:ext>
            </c:extLst>
          </c:dPt>
          <c:dPt>
            <c:idx val="1"/>
            <c:bubble3D val="0"/>
            <c:spPr>
              <a:solidFill>
                <a:srgbClr val="81C784"/>
              </a:solidFill>
              <a:ln w="19050">
                <a:solidFill>
                  <a:schemeClr val="lt1"/>
                </a:solidFill>
              </a:ln>
              <a:effectLst/>
            </c:spPr>
            <c:extLst>
              <c:ext xmlns:c16="http://schemas.microsoft.com/office/drawing/2014/chart" uri="{C3380CC4-5D6E-409C-BE32-E72D297353CC}">
                <c16:uniqueId val="{00000003-234E-445A-97BD-B79E745FD7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Pivot_Tables!$A$57:$A$59</c:f>
              <c:strCache>
                <c:ptCount val="2"/>
                <c:pt idx="0">
                  <c:v>No</c:v>
                </c:pt>
                <c:pt idx="1">
                  <c:v>Yes</c:v>
                </c:pt>
              </c:strCache>
            </c:strRef>
          </c:cat>
          <c:val>
            <c:numRef>
              <c:f>Pivot_Tables!$B$57:$B$59</c:f>
              <c:numCache>
                <c:formatCode>General</c:formatCode>
                <c:ptCount val="2"/>
                <c:pt idx="0">
                  <c:v>38</c:v>
                </c:pt>
                <c:pt idx="1">
                  <c:v>22</c:v>
                </c:pt>
              </c:numCache>
            </c:numRef>
          </c:val>
          <c:extLst>
            <c:ext xmlns:c16="http://schemas.microsoft.com/office/drawing/2014/chart" uri="{C3380CC4-5D6E-409C-BE32-E72D297353CC}">
              <c16:uniqueId val="{00000004-234E-445A-97BD-B79E745FD70A}"/>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81C784">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172329</xdr:rowOff>
    </xdr:from>
    <xdr:to>
      <xdr:col>3</xdr:col>
      <xdr:colOff>52755</xdr:colOff>
      <xdr:row>15</xdr:row>
      <xdr:rowOff>28136</xdr:rowOff>
    </xdr:to>
    <xdr:graphicFrame macro="">
      <xdr:nvGraphicFramePr>
        <xdr:cNvPr id="2" name="Chart 1">
          <a:extLst>
            <a:ext uri="{FF2B5EF4-FFF2-40B4-BE49-F238E27FC236}">
              <a16:creationId xmlns:a16="http://schemas.microsoft.com/office/drawing/2014/main" id="{DB9BDC6B-47D4-383E-DFD4-27F9D667C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590842</xdr:colOff>
      <xdr:row>6</xdr:row>
      <xdr:rowOff>45720</xdr:rowOff>
    </xdr:from>
    <xdr:to>
      <xdr:col>7</xdr:col>
      <xdr:colOff>393895</xdr:colOff>
      <xdr:row>16</xdr:row>
      <xdr:rowOff>84406</xdr:rowOff>
    </xdr:to>
    <xdr:graphicFrame macro="">
      <xdr:nvGraphicFramePr>
        <xdr:cNvPr id="3" name="Chart 2">
          <a:extLst>
            <a:ext uri="{FF2B5EF4-FFF2-40B4-BE49-F238E27FC236}">
              <a16:creationId xmlns:a16="http://schemas.microsoft.com/office/drawing/2014/main" id="{76F83B9B-622C-8C32-A83D-B4AEB77CD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597877</xdr:colOff>
      <xdr:row>6</xdr:row>
      <xdr:rowOff>45720</xdr:rowOff>
    </xdr:from>
    <xdr:to>
      <xdr:col>11</xdr:col>
      <xdr:colOff>126613</xdr:colOff>
      <xdr:row>15</xdr:row>
      <xdr:rowOff>154745</xdr:rowOff>
    </xdr:to>
    <xdr:graphicFrame macro="">
      <xdr:nvGraphicFramePr>
        <xdr:cNvPr id="4" name="Chart 3">
          <a:extLst>
            <a:ext uri="{FF2B5EF4-FFF2-40B4-BE49-F238E27FC236}">
              <a16:creationId xmlns:a16="http://schemas.microsoft.com/office/drawing/2014/main" id="{D39F4183-CA49-FDEB-0760-8AD867ECF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63305</xdr:colOff>
      <xdr:row>23</xdr:row>
      <xdr:rowOff>38685</xdr:rowOff>
    </xdr:from>
    <xdr:to>
      <xdr:col>3</xdr:col>
      <xdr:colOff>119577</xdr:colOff>
      <xdr:row>32</xdr:row>
      <xdr:rowOff>105508</xdr:rowOff>
    </xdr:to>
    <xdr:graphicFrame macro="">
      <xdr:nvGraphicFramePr>
        <xdr:cNvPr id="5" name="Chart 4">
          <a:extLst>
            <a:ext uri="{FF2B5EF4-FFF2-40B4-BE49-F238E27FC236}">
              <a16:creationId xmlns:a16="http://schemas.microsoft.com/office/drawing/2014/main" id="{8A160E0B-E7A6-A149-9120-AD2A6EF13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14067</xdr:colOff>
      <xdr:row>25</xdr:row>
      <xdr:rowOff>42203</xdr:rowOff>
    </xdr:from>
    <xdr:to>
      <xdr:col>7</xdr:col>
      <xdr:colOff>611945</xdr:colOff>
      <xdr:row>35</xdr:row>
      <xdr:rowOff>119576</xdr:rowOff>
    </xdr:to>
    <xdr:graphicFrame macro="">
      <xdr:nvGraphicFramePr>
        <xdr:cNvPr id="6" name="Chart 5">
          <a:extLst>
            <a:ext uri="{FF2B5EF4-FFF2-40B4-BE49-F238E27FC236}">
              <a16:creationId xmlns:a16="http://schemas.microsoft.com/office/drawing/2014/main" id="{40A1DBC5-4237-332C-8D92-977DA4C9D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576775</xdr:colOff>
      <xdr:row>25</xdr:row>
      <xdr:rowOff>45720</xdr:rowOff>
    </xdr:from>
    <xdr:to>
      <xdr:col>11</xdr:col>
      <xdr:colOff>604915</xdr:colOff>
      <xdr:row>36</xdr:row>
      <xdr:rowOff>112542</xdr:rowOff>
    </xdr:to>
    <xdr:graphicFrame macro="">
      <xdr:nvGraphicFramePr>
        <xdr:cNvPr id="7" name="Chart 6">
          <a:extLst>
            <a:ext uri="{FF2B5EF4-FFF2-40B4-BE49-F238E27FC236}">
              <a16:creationId xmlns:a16="http://schemas.microsoft.com/office/drawing/2014/main" id="{E67AC9A0-90CA-A40E-3221-9F0AC3F6C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17583</xdr:colOff>
      <xdr:row>42</xdr:row>
      <xdr:rowOff>45719</xdr:rowOff>
    </xdr:from>
    <xdr:to>
      <xdr:col>11</xdr:col>
      <xdr:colOff>407963</xdr:colOff>
      <xdr:row>50</xdr:row>
      <xdr:rowOff>70338</xdr:rowOff>
    </xdr:to>
    <xdr:graphicFrame macro="">
      <xdr:nvGraphicFramePr>
        <xdr:cNvPr id="8" name="Chart 7">
          <a:extLst>
            <a:ext uri="{FF2B5EF4-FFF2-40B4-BE49-F238E27FC236}">
              <a16:creationId xmlns:a16="http://schemas.microsoft.com/office/drawing/2014/main" id="{C8151A16-C12C-446A-7BA3-B46B3FD96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10550</xdr:colOff>
      <xdr:row>59</xdr:row>
      <xdr:rowOff>38686</xdr:rowOff>
    </xdr:from>
    <xdr:to>
      <xdr:col>3</xdr:col>
      <xdr:colOff>499403</xdr:colOff>
      <xdr:row>66</xdr:row>
      <xdr:rowOff>140677</xdr:rowOff>
    </xdr:to>
    <xdr:graphicFrame macro="">
      <xdr:nvGraphicFramePr>
        <xdr:cNvPr id="9" name="Chart 8">
          <a:extLst>
            <a:ext uri="{FF2B5EF4-FFF2-40B4-BE49-F238E27FC236}">
              <a16:creationId xmlns:a16="http://schemas.microsoft.com/office/drawing/2014/main" id="{4B76A043-FC13-619B-EB77-1ACC6E19A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503331</xdr:colOff>
      <xdr:row>3</xdr:row>
      <xdr:rowOff>48050</xdr:rowOff>
    </xdr:from>
    <xdr:to>
      <xdr:col>17</xdr:col>
      <xdr:colOff>468618</xdr:colOff>
      <xdr:row>17</xdr:row>
      <xdr:rowOff>124311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012E88DA-407D-F5F0-62ED-0B10038F52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474304" y="596142"/>
              <a:ext cx="1828800" cy="263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534023</xdr:colOff>
      <xdr:row>18</xdr:row>
      <xdr:rowOff>33067</xdr:rowOff>
    </xdr:from>
    <xdr:to>
      <xdr:col>14</xdr:col>
      <xdr:colOff>499311</xdr:colOff>
      <xdr:row>32</xdr:row>
      <xdr:rowOff>109329</xdr:rowOff>
    </xdr:to>
    <mc:AlternateContent xmlns:mc="http://schemas.openxmlformats.org/markup-compatibility/2006">
      <mc:Choice xmlns:a14="http://schemas.microsoft.com/office/drawing/2010/main" Requires="a14">
        <xdr:graphicFrame macro="">
          <xdr:nvGraphicFramePr>
            <xdr:cNvPr id="11" name="AgeGroup">
              <a:extLst>
                <a:ext uri="{FF2B5EF4-FFF2-40B4-BE49-F238E27FC236}">
                  <a16:creationId xmlns:a16="http://schemas.microsoft.com/office/drawing/2014/main" id="{6061E567-1247-5F6D-8886-B9D4743CDB95}"/>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9641484" y="3321619"/>
              <a:ext cx="1828800" cy="263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363749</xdr:colOff>
      <xdr:row>1</xdr:row>
      <xdr:rowOff>127705</xdr:rowOff>
    </xdr:from>
    <xdr:to>
      <xdr:col>14</xdr:col>
      <xdr:colOff>329037</xdr:colOff>
      <xdr:row>16</xdr:row>
      <xdr:rowOff>21269</xdr:rowOff>
    </xdr:to>
    <mc:AlternateContent xmlns:mc="http://schemas.openxmlformats.org/markup-compatibility/2006">
      <mc:Choice xmlns:a14="http://schemas.microsoft.com/office/drawing/2010/main" Requires="a14">
        <xdr:graphicFrame macro="">
          <xdr:nvGraphicFramePr>
            <xdr:cNvPr id="12" name="Location">
              <a:extLst>
                <a:ext uri="{FF2B5EF4-FFF2-40B4-BE49-F238E27FC236}">
                  <a16:creationId xmlns:a16="http://schemas.microsoft.com/office/drawing/2014/main" id="{AE357201-4509-4179-E32C-9F4FFCE256A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471210" y="310402"/>
              <a:ext cx="1828800" cy="263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181285</xdr:colOff>
      <xdr:row>4</xdr:row>
      <xdr:rowOff>177370</xdr:rowOff>
    </xdr:from>
    <xdr:to>
      <xdr:col>7</xdr:col>
      <xdr:colOff>152280</xdr:colOff>
      <xdr:row>14</xdr:row>
      <xdr:rowOff>72515</xdr:rowOff>
    </xdr:to>
    <xdr:graphicFrame macro="">
      <xdr:nvGraphicFramePr>
        <xdr:cNvPr id="2" name="Chart 1">
          <a:extLst>
            <a:ext uri="{FF2B5EF4-FFF2-40B4-BE49-F238E27FC236}">
              <a16:creationId xmlns:a16="http://schemas.microsoft.com/office/drawing/2014/main" id="{C0D741D2-003A-4D4E-BAD3-F90331938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332513</xdr:colOff>
      <xdr:row>4</xdr:row>
      <xdr:rowOff>50761</xdr:rowOff>
    </xdr:from>
    <xdr:to>
      <xdr:col>12</xdr:col>
      <xdr:colOff>498557</xdr:colOff>
      <xdr:row>14</xdr:row>
      <xdr:rowOff>118210</xdr:rowOff>
    </xdr:to>
    <xdr:graphicFrame macro="">
      <xdr:nvGraphicFramePr>
        <xdr:cNvPr id="3" name="Chart 2">
          <a:extLst>
            <a:ext uri="{FF2B5EF4-FFF2-40B4-BE49-F238E27FC236}">
              <a16:creationId xmlns:a16="http://schemas.microsoft.com/office/drawing/2014/main" id="{D9338B16-0CA3-4A60-B285-EF4BD1FBB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423952</xdr:colOff>
      <xdr:row>4</xdr:row>
      <xdr:rowOff>152751</xdr:rowOff>
    </xdr:from>
    <xdr:to>
      <xdr:col>19</xdr:col>
      <xdr:colOff>156602</xdr:colOff>
      <xdr:row>14</xdr:row>
      <xdr:rowOff>116023</xdr:rowOff>
    </xdr:to>
    <xdr:graphicFrame macro="">
      <xdr:nvGraphicFramePr>
        <xdr:cNvPr id="4" name="Chart 3">
          <a:extLst>
            <a:ext uri="{FF2B5EF4-FFF2-40B4-BE49-F238E27FC236}">
              <a16:creationId xmlns:a16="http://schemas.microsoft.com/office/drawing/2014/main" id="{0D15F4EF-B77A-48D4-A5BE-BE4FB3A7E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181286</xdr:colOff>
      <xdr:row>17</xdr:row>
      <xdr:rowOff>156268</xdr:rowOff>
    </xdr:from>
    <xdr:to>
      <xdr:col>7</xdr:col>
      <xdr:colOff>152281</xdr:colOff>
      <xdr:row>29</xdr:row>
      <xdr:rowOff>73826</xdr:rowOff>
    </xdr:to>
    <xdr:graphicFrame macro="">
      <xdr:nvGraphicFramePr>
        <xdr:cNvPr id="5" name="Chart 4">
          <a:extLst>
            <a:ext uri="{FF2B5EF4-FFF2-40B4-BE49-F238E27FC236}">
              <a16:creationId xmlns:a16="http://schemas.microsoft.com/office/drawing/2014/main" id="{9F386EB8-3DDB-40B0-B6CD-A4F89C113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368007</xdr:colOff>
      <xdr:row>18</xdr:row>
      <xdr:rowOff>24653</xdr:rowOff>
    </xdr:from>
    <xdr:to>
      <xdr:col>12</xdr:col>
      <xdr:colOff>471341</xdr:colOff>
      <xdr:row>29</xdr:row>
      <xdr:rowOff>123275</xdr:rowOff>
    </xdr:to>
    <xdr:graphicFrame macro="">
      <xdr:nvGraphicFramePr>
        <xdr:cNvPr id="6" name="Chart 5">
          <a:extLst>
            <a:ext uri="{FF2B5EF4-FFF2-40B4-BE49-F238E27FC236}">
              <a16:creationId xmlns:a16="http://schemas.microsoft.com/office/drawing/2014/main" id="{CC1A1DEB-A752-4E81-BBA5-70D2AA134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446538</xdr:colOff>
      <xdr:row>19</xdr:row>
      <xdr:rowOff>16534</xdr:rowOff>
    </xdr:from>
    <xdr:to>
      <xdr:col>19</xdr:col>
      <xdr:colOff>130525</xdr:colOff>
      <xdr:row>29</xdr:row>
      <xdr:rowOff>159532</xdr:rowOff>
    </xdr:to>
    <xdr:graphicFrame macro="">
      <xdr:nvGraphicFramePr>
        <xdr:cNvPr id="7" name="Chart 6">
          <a:extLst>
            <a:ext uri="{FF2B5EF4-FFF2-40B4-BE49-F238E27FC236}">
              <a16:creationId xmlns:a16="http://schemas.microsoft.com/office/drawing/2014/main" id="{48309FEB-382C-4CBF-819D-C61F6FEEB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98475</xdr:colOff>
      <xdr:row>6</xdr:row>
      <xdr:rowOff>154744</xdr:rowOff>
    </xdr:from>
    <xdr:to>
      <xdr:col>6</xdr:col>
      <xdr:colOff>42204</xdr:colOff>
      <xdr:row>18</xdr:row>
      <xdr:rowOff>154744</xdr:rowOff>
    </xdr:to>
    <xdr:graphicFrame macro="">
      <xdr:nvGraphicFramePr>
        <xdr:cNvPr id="2" name="Chart 1">
          <a:extLst>
            <a:ext uri="{FF2B5EF4-FFF2-40B4-BE49-F238E27FC236}">
              <a16:creationId xmlns:a16="http://schemas.microsoft.com/office/drawing/2014/main" id="{52523877-270E-4566-A6C8-7DAAC87DD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231880</xdr:colOff>
      <xdr:row>6</xdr:row>
      <xdr:rowOff>161779</xdr:rowOff>
    </xdr:from>
    <xdr:to>
      <xdr:col>13</xdr:col>
      <xdr:colOff>401340</xdr:colOff>
      <xdr:row>18</xdr:row>
      <xdr:rowOff>161779</xdr:rowOff>
    </xdr:to>
    <xdr:graphicFrame macro="">
      <xdr:nvGraphicFramePr>
        <xdr:cNvPr id="3" name="Chart 2">
          <a:extLst>
            <a:ext uri="{FF2B5EF4-FFF2-40B4-BE49-F238E27FC236}">
              <a16:creationId xmlns:a16="http://schemas.microsoft.com/office/drawing/2014/main" id="{86E259A6-7CD4-4054-886E-AB16A2B47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579713</xdr:colOff>
      <xdr:row>6</xdr:row>
      <xdr:rowOff>158260</xdr:rowOff>
    </xdr:from>
    <xdr:to>
      <xdr:col>19</xdr:col>
      <xdr:colOff>274320</xdr:colOff>
      <xdr:row>18</xdr:row>
      <xdr:rowOff>158260</xdr:rowOff>
    </xdr:to>
    <xdr:graphicFrame macro="">
      <xdr:nvGraphicFramePr>
        <xdr:cNvPr id="4" name="Chart 3">
          <a:extLst>
            <a:ext uri="{FF2B5EF4-FFF2-40B4-BE49-F238E27FC236}">
              <a16:creationId xmlns:a16="http://schemas.microsoft.com/office/drawing/2014/main" id="{DC3A1FB7-74D5-4CEF-9E88-3E3647D3E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98475</xdr:colOff>
      <xdr:row>19</xdr:row>
      <xdr:rowOff>112112</xdr:rowOff>
    </xdr:from>
    <xdr:to>
      <xdr:col>6</xdr:col>
      <xdr:colOff>42204</xdr:colOff>
      <xdr:row>31</xdr:row>
      <xdr:rowOff>168381</xdr:rowOff>
    </xdr:to>
    <xdr:graphicFrame macro="">
      <xdr:nvGraphicFramePr>
        <xdr:cNvPr id="5" name="Chart 4">
          <a:extLst>
            <a:ext uri="{FF2B5EF4-FFF2-40B4-BE49-F238E27FC236}">
              <a16:creationId xmlns:a16="http://schemas.microsoft.com/office/drawing/2014/main" id="{8DEF7F1F-99CE-4778-8B92-2CECD8683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232116</xdr:colOff>
      <xdr:row>19</xdr:row>
      <xdr:rowOff>112544</xdr:rowOff>
    </xdr:from>
    <xdr:to>
      <xdr:col>15</xdr:col>
      <xdr:colOff>379827</xdr:colOff>
      <xdr:row>31</xdr:row>
      <xdr:rowOff>168813</xdr:rowOff>
    </xdr:to>
    <xdr:graphicFrame macro="">
      <xdr:nvGraphicFramePr>
        <xdr:cNvPr id="6" name="Chart 5">
          <a:extLst>
            <a:ext uri="{FF2B5EF4-FFF2-40B4-BE49-F238E27FC236}">
              <a16:creationId xmlns:a16="http://schemas.microsoft.com/office/drawing/2014/main" id="{2B63A954-4ADC-491E-BA02-2F7262C51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524920</xdr:colOff>
      <xdr:row>19</xdr:row>
      <xdr:rowOff>109863</xdr:rowOff>
    </xdr:from>
    <xdr:to>
      <xdr:col>21</xdr:col>
      <xdr:colOff>219527</xdr:colOff>
      <xdr:row>31</xdr:row>
      <xdr:rowOff>166132</xdr:rowOff>
    </xdr:to>
    <xdr:graphicFrame macro="">
      <xdr:nvGraphicFramePr>
        <xdr:cNvPr id="7" name="Chart 6">
          <a:extLst>
            <a:ext uri="{FF2B5EF4-FFF2-40B4-BE49-F238E27FC236}">
              <a16:creationId xmlns:a16="http://schemas.microsoft.com/office/drawing/2014/main" id="{9041ED1F-DFEC-4737-9599-88339EA7F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478301</xdr:colOff>
      <xdr:row>2</xdr:row>
      <xdr:rowOff>16413</xdr:rowOff>
    </xdr:from>
    <xdr:to>
      <xdr:col>3</xdr:col>
      <xdr:colOff>229773</xdr:colOff>
      <xdr:row>6</xdr:row>
      <xdr:rowOff>21103</xdr:rowOff>
    </xdr:to>
    <xdr:grpSp>
      <xdr:nvGrpSpPr>
        <xdr:cNvPr id="10" name="Group 9">
          <a:extLst>
            <a:ext uri="{FF2B5EF4-FFF2-40B4-BE49-F238E27FC236}">
              <a16:creationId xmlns:a16="http://schemas.microsoft.com/office/drawing/2014/main" id="{813806CE-532A-42D2-46D5-49AF8CB76879}"/>
            </a:ext>
          </a:extLst>
        </xdr:cNvPr>
        <xdr:cNvGrpSpPr/>
      </xdr:nvGrpSpPr>
      <xdr:grpSpPr>
        <a:xfrm>
          <a:off x="478301" y="733865"/>
          <a:ext cx="1608407" cy="736210"/>
          <a:chOff x="2560320" y="907367"/>
          <a:chExt cx="1608407" cy="736210"/>
        </a:xfrm>
      </xdr:grpSpPr>
      <xdr:sp macro="" textlink="">
        <xdr:nvSpPr>
          <xdr:cNvPr id="8" name="Rectangle: Rounded Corners 7">
            <a:extLst>
              <a:ext uri="{FF2B5EF4-FFF2-40B4-BE49-F238E27FC236}">
                <a16:creationId xmlns:a16="http://schemas.microsoft.com/office/drawing/2014/main" id="{5033D3CF-128F-C97C-15E5-6D12954E2C02}"/>
              </a:ext>
            </a:extLst>
          </xdr:cNvPr>
          <xdr:cNvSpPr/>
        </xdr:nvSpPr>
        <xdr:spPr>
          <a:xfrm>
            <a:off x="2560320" y="907367"/>
            <a:ext cx="1505243" cy="731520"/>
          </a:xfrm>
          <a:prstGeom prst="roundRect">
            <a:avLst/>
          </a:prstGeom>
          <a:solidFill>
            <a:srgbClr val="2E7D32"/>
          </a:solidFill>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2925EB80-4B98-4A49-95CB-DCF51E64FB28}"/>
              </a:ext>
            </a:extLst>
          </xdr:cNvPr>
          <xdr:cNvSpPr/>
        </xdr:nvSpPr>
        <xdr:spPr>
          <a:xfrm>
            <a:off x="2663484" y="912057"/>
            <a:ext cx="1505243" cy="731520"/>
          </a:xfrm>
          <a:prstGeom prst="roundRect">
            <a:avLst/>
          </a:prstGeom>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4</xdr:col>
      <xdr:colOff>488265</xdr:colOff>
      <xdr:row>2</xdr:row>
      <xdr:rowOff>11723</xdr:rowOff>
    </xdr:from>
    <xdr:to>
      <xdr:col>7</xdr:col>
      <xdr:colOff>239737</xdr:colOff>
      <xdr:row>6</xdr:row>
      <xdr:rowOff>16413</xdr:rowOff>
    </xdr:to>
    <xdr:grpSp>
      <xdr:nvGrpSpPr>
        <xdr:cNvPr id="11" name="Group 10">
          <a:extLst>
            <a:ext uri="{FF2B5EF4-FFF2-40B4-BE49-F238E27FC236}">
              <a16:creationId xmlns:a16="http://schemas.microsoft.com/office/drawing/2014/main" id="{6F0AF425-75E9-466B-B84B-8AB32CCFE500}"/>
            </a:ext>
          </a:extLst>
        </xdr:cNvPr>
        <xdr:cNvGrpSpPr/>
      </xdr:nvGrpSpPr>
      <xdr:grpSpPr>
        <a:xfrm>
          <a:off x="2964179" y="729175"/>
          <a:ext cx="1608407" cy="736210"/>
          <a:chOff x="2560320" y="907367"/>
          <a:chExt cx="1608407" cy="736210"/>
        </a:xfrm>
      </xdr:grpSpPr>
      <xdr:sp macro="" textlink="">
        <xdr:nvSpPr>
          <xdr:cNvPr id="12" name="Rectangle: Rounded Corners 11">
            <a:extLst>
              <a:ext uri="{FF2B5EF4-FFF2-40B4-BE49-F238E27FC236}">
                <a16:creationId xmlns:a16="http://schemas.microsoft.com/office/drawing/2014/main" id="{5E7DBA4D-A297-19E6-2483-F34AE296F973}"/>
              </a:ext>
            </a:extLst>
          </xdr:cNvPr>
          <xdr:cNvSpPr/>
        </xdr:nvSpPr>
        <xdr:spPr>
          <a:xfrm>
            <a:off x="2560320" y="907367"/>
            <a:ext cx="1505243" cy="731520"/>
          </a:xfrm>
          <a:prstGeom prst="roundRect">
            <a:avLst/>
          </a:prstGeom>
          <a:solidFill>
            <a:srgbClr val="2E7D32"/>
          </a:solidFill>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7990233A-8F75-3B11-DC46-665C488D9154}"/>
              </a:ext>
            </a:extLst>
          </xdr:cNvPr>
          <xdr:cNvSpPr/>
        </xdr:nvSpPr>
        <xdr:spPr>
          <a:xfrm>
            <a:off x="2663484" y="912057"/>
            <a:ext cx="1505243" cy="731520"/>
          </a:xfrm>
          <a:prstGeom prst="roundRect">
            <a:avLst/>
          </a:prstGeom>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8</xdr:col>
      <xdr:colOff>498229</xdr:colOff>
      <xdr:row>2</xdr:row>
      <xdr:rowOff>30481</xdr:rowOff>
    </xdr:from>
    <xdr:to>
      <xdr:col>11</xdr:col>
      <xdr:colOff>249701</xdr:colOff>
      <xdr:row>6</xdr:row>
      <xdr:rowOff>35171</xdr:rowOff>
    </xdr:to>
    <xdr:grpSp>
      <xdr:nvGrpSpPr>
        <xdr:cNvPr id="14" name="Group 13">
          <a:extLst>
            <a:ext uri="{FF2B5EF4-FFF2-40B4-BE49-F238E27FC236}">
              <a16:creationId xmlns:a16="http://schemas.microsoft.com/office/drawing/2014/main" id="{FDB1347B-29F3-4FA7-88DF-3A42959EE6D9}"/>
            </a:ext>
          </a:extLst>
        </xdr:cNvPr>
        <xdr:cNvGrpSpPr/>
      </xdr:nvGrpSpPr>
      <xdr:grpSpPr>
        <a:xfrm>
          <a:off x="5450057" y="747933"/>
          <a:ext cx="1608407" cy="736210"/>
          <a:chOff x="2560320" y="907367"/>
          <a:chExt cx="1608407" cy="736210"/>
        </a:xfrm>
      </xdr:grpSpPr>
      <xdr:sp macro="" textlink="">
        <xdr:nvSpPr>
          <xdr:cNvPr id="15" name="Rectangle: Rounded Corners 14">
            <a:extLst>
              <a:ext uri="{FF2B5EF4-FFF2-40B4-BE49-F238E27FC236}">
                <a16:creationId xmlns:a16="http://schemas.microsoft.com/office/drawing/2014/main" id="{6BA5670B-D01C-94DF-A5ED-28A4B9862EF5}"/>
              </a:ext>
            </a:extLst>
          </xdr:cNvPr>
          <xdr:cNvSpPr/>
        </xdr:nvSpPr>
        <xdr:spPr>
          <a:xfrm>
            <a:off x="2560320" y="907367"/>
            <a:ext cx="1505243" cy="731520"/>
          </a:xfrm>
          <a:prstGeom prst="roundRect">
            <a:avLst/>
          </a:prstGeom>
          <a:solidFill>
            <a:srgbClr val="2E7D32"/>
          </a:solidFill>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3EB3D608-4389-54BA-0F6B-073EE8569780}"/>
              </a:ext>
            </a:extLst>
          </xdr:cNvPr>
          <xdr:cNvSpPr/>
        </xdr:nvSpPr>
        <xdr:spPr>
          <a:xfrm>
            <a:off x="2663484" y="912057"/>
            <a:ext cx="1505243" cy="731520"/>
          </a:xfrm>
          <a:prstGeom prst="roundRect">
            <a:avLst/>
          </a:prstGeom>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12</xdr:col>
      <xdr:colOff>508193</xdr:colOff>
      <xdr:row>2</xdr:row>
      <xdr:rowOff>25791</xdr:rowOff>
    </xdr:from>
    <xdr:to>
      <xdr:col>15</xdr:col>
      <xdr:colOff>259665</xdr:colOff>
      <xdr:row>6</xdr:row>
      <xdr:rowOff>30481</xdr:rowOff>
    </xdr:to>
    <xdr:grpSp>
      <xdr:nvGrpSpPr>
        <xdr:cNvPr id="17" name="Group 16">
          <a:extLst>
            <a:ext uri="{FF2B5EF4-FFF2-40B4-BE49-F238E27FC236}">
              <a16:creationId xmlns:a16="http://schemas.microsoft.com/office/drawing/2014/main" id="{BC44D21F-2FF3-4DF4-A880-87A18CB76515}"/>
            </a:ext>
          </a:extLst>
        </xdr:cNvPr>
        <xdr:cNvGrpSpPr/>
      </xdr:nvGrpSpPr>
      <xdr:grpSpPr>
        <a:xfrm>
          <a:off x="7935935" y="743243"/>
          <a:ext cx="1608407" cy="736210"/>
          <a:chOff x="2560320" y="907367"/>
          <a:chExt cx="1608407" cy="736210"/>
        </a:xfrm>
      </xdr:grpSpPr>
      <xdr:sp macro="" textlink="">
        <xdr:nvSpPr>
          <xdr:cNvPr id="18" name="Rectangle: Rounded Corners 17">
            <a:extLst>
              <a:ext uri="{FF2B5EF4-FFF2-40B4-BE49-F238E27FC236}">
                <a16:creationId xmlns:a16="http://schemas.microsoft.com/office/drawing/2014/main" id="{29F99925-34DB-40C3-0976-1CEAB9ECC32E}"/>
              </a:ext>
            </a:extLst>
          </xdr:cNvPr>
          <xdr:cNvSpPr/>
        </xdr:nvSpPr>
        <xdr:spPr>
          <a:xfrm>
            <a:off x="2560320" y="907367"/>
            <a:ext cx="1505243" cy="731520"/>
          </a:xfrm>
          <a:prstGeom prst="roundRect">
            <a:avLst/>
          </a:prstGeom>
          <a:solidFill>
            <a:srgbClr val="2E7D32"/>
          </a:solidFill>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2B89D9FB-1EBF-B7D0-2EE3-ED86AF8084D0}"/>
              </a:ext>
            </a:extLst>
          </xdr:cNvPr>
          <xdr:cNvSpPr/>
        </xdr:nvSpPr>
        <xdr:spPr>
          <a:xfrm>
            <a:off x="2663484" y="912057"/>
            <a:ext cx="1505243" cy="731520"/>
          </a:xfrm>
          <a:prstGeom prst="roundRect">
            <a:avLst/>
          </a:prstGeom>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16</xdr:col>
      <xdr:colOff>518160</xdr:colOff>
      <xdr:row>2</xdr:row>
      <xdr:rowOff>21102</xdr:rowOff>
    </xdr:from>
    <xdr:to>
      <xdr:col>19</xdr:col>
      <xdr:colOff>269631</xdr:colOff>
      <xdr:row>6</xdr:row>
      <xdr:rowOff>25792</xdr:rowOff>
    </xdr:to>
    <xdr:grpSp>
      <xdr:nvGrpSpPr>
        <xdr:cNvPr id="20" name="Group 19">
          <a:extLst>
            <a:ext uri="{FF2B5EF4-FFF2-40B4-BE49-F238E27FC236}">
              <a16:creationId xmlns:a16="http://schemas.microsoft.com/office/drawing/2014/main" id="{51268D12-C31C-4FD6-8CA5-986D5E0B9687}"/>
            </a:ext>
          </a:extLst>
        </xdr:cNvPr>
        <xdr:cNvGrpSpPr/>
      </xdr:nvGrpSpPr>
      <xdr:grpSpPr>
        <a:xfrm>
          <a:off x="10421815" y="738554"/>
          <a:ext cx="1608407" cy="736210"/>
          <a:chOff x="2560320" y="907367"/>
          <a:chExt cx="1608407" cy="736210"/>
        </a:xfrm>
      </xdr:grpSpPr>
      <xdr:sp macro="" textlink="">
        <xdr:nvSpPr>
          <xdr:cNvPr id="21" name="Rectangle: Rounded Corners 20">
            <a:extLst>
              <a:ext uri="{FF2B5EF4-FFF2-40B4-BE49-F238E27FC236}">
                <a16:creationId xmlns:a16="http://schemas.microsoft.com/office/drawing/2014/main" id="{E93D85C9-1883-E7B5-E9F5-B4B2849F8756}"/>
              </a:ext>
            </a:extLst>
          </xdr:cNvPr>
          <xdr:cNvSpPr/>
        </xdr:nvSpPr>
        <xdr:spPr>
          <a:xfrm>
            <a:off x="2560320" y="907367"/>
            <a:ext cx="1505243" cy="731520"/>
          </a:xfrm>
          <a:prstGeom prst="roundRect">
            <a:avLst/>
          </a:prstGeom>
          <a:solidFill>
            <a:srgbClr val="2E7D32"/>
          </a:solidFill>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816B7ECC-A887-F51D-A461-A6D528158C1D}"/>
              </a:ext>
            </a:extLst>
          </xdr:cNvPr>
          <xdr:cNvSpPr/>
        </xdr:nvSpPr>
        <xdr:spPr>
          <a:xfrm>
            <a:off x="2663484" y="912057"/>
            <a:ext cx="1505243" cy="731520"/>
          </a:xfrm>
          <a:prstGeom prst="roundRect">
            <a:avLst/>
          </a:prstGeom>
          <a:ln>
            <a:solidFill>
              <a:srgbClr val="2E7D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84406</xdr:colOff>
      <xdr:row>2</xdr:row>
      <xdr:rowOff>21099</xdr:rowOff>
    </xdr:from>
    <xdr:to>
      <xdr:col>3</xdr:col>
      <xdr:colOff>91440</xdr:colOff>
      <xdr:row>5</xdr:row>
      <xdr:rowOff>182878</xdr:rowOff>
    </xdr:to>
    <xdr:sp macro="" textlink="">
      <xdr:nvSpPr>
        <xdr:cNvPr id="23" name="TextBox 22">
          <a:extLst>
            <a:ext uri="{FF2B5EF4-FFF2-40B4-BE49-F238E27FC236}">
              <a16:creationId xmlns:a16="http://schemas.microsoft.com/office/drawing/2014/main" id="{27B8E1DF-410B-A163-094A-8FCCF1CA8B77}"/>
            </a:ext>
          </a:extLst>
        </xdr:cNvPr>
        <xdr:cNvSpPr txBox="1"/>
      </xdr:nvSpPr>
      <xdr:spPr>
        <a:xfrm>
          <a:off x="703384" y="900330"/>
          <a:ext cx="1244991" cy="71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2E7D32"/>
              </a:solidFill>
              <a:effectLst/>
              <a:latin typeface="+mn-lt"/>
              <a:ea typeface="+mn-ea"/>
              <a:cs typeface="+mn-cs"/>
            </a:rPr>
            <a:t>Total Respondents</a:t>
          </a:r>
          <a:r>
            <a:rPr lang="en-US" sz="1100" b="0" i="0" u="none" strike="noStrike" baseline="0">
              <a:solidFill>
                <a:srgbClr val="2E7D32"/>
              </a:solidFill>
              <a:effectLst/>
              <a:latin typeface="+mn-lt"/>
              <a:ea typeface="+mn-ea"/>
              <a:cs typeface="+mn-cs"/>
            </a:rPr>
            <a:t> </a:t>
          </a:r>
        </a:p>
        <a:p>
          <a:pPr algn="ctr"/>
          <a:r>
            <a:rPr lang="en-US" sz="2800" b="1">
              <a:solidFill>
                <a:srgbClr val="2E7D32"/>
              </a:solidFill>
            </a:rPr>
            <a:t> </a:t>
          </a:r>
          <a:r>
            <a:rPr lang="en-US" sz="2800" b="1" i="0" u="none" strike="noStrike">
              <a:solidFill>
                <a:srgbClr val="2E7D32"/>
              </a:solidFill>
              <a:effectLst/>
              <a:latin typeface="+mn-lt"/>
              <a:ea typeface="+mn-ea"/>
              <a:cs typeface="+mn-cs"/>
            </a:rPr>
            <a:t>60</a:t>
          </a:r>
          <a:r>
            <a:rPr lang="en-US" sz="2800" b="1">
              <a:solidFill>
                <a:srgbClr val="2E7D32"/>
              </a:solidFill>
            </a:rPr>
            <a:t> </a:t>
          </a:r>
        </a:p>
      </xdr:txBody>
    </xdr:sp>
    <xdr:clientData/>
  </xdr:twoCellAnchor>
  <xdr:twoCellAnchor>
    <xdr:from>
      <xdr:col>5</xdr:col>
      <xdr:colOff>89095</xdr:colOff>
      <xdr:row>2</xdr:row>
      <xdr:rowOff>46890</xdr:rowOff>
    </xdr:from>
    <xdr:to>
      <xdr:col>7</xdr:col>
      <xdr:colOff>96129</xdr:colOff>
      <xdr:row>6</xdr:row>
      <xdr:rowOff>25789</xdr:rowOff>
    </xdr:to>
    <xdr:sp macro="" textlink="">
      <xdr:nvSpPr>
        <xdr:cNvPr id="24" name="TextBox 23">
          <a:extLst>
            <a:ext uri="{FF2B5EF4-FFF2-40B4-BE49-F238E27FC236}">
              <a16:creationId xmlns:a16="http://schemas.microsoft.com/office/drawing/2014/main" id="{2DAC4029-E734-43C8-94D5-6F3E94B19295}"/>
            </a:ext>
          </a:extLst>
        </xdr:cNvPr>
        <xdr:cNvSpPr txBox="1"/>
      </xdr:nvSpPr>
      <xdr:spPr>
        <a:xfrm>
          <a:off x="3183987" y="926121"/>
          <a:ext cx="1244991" cy="71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2E7D32"/>
              </a:solidFill>
              <a:effectLst/>
              <a:latin typeface="+mn-lt"/>
              <a:ea typeface="+mn-ea"/>
              <a:cs typeface="+mn-cs"/>
            </a:rPr>
            <a:t>Herbal Usage Rate</a:t>
          </a:r>
          <a:r>
            <a:rPr lang="en-US">
              <a:solidFill>
                <a:srgbClr val="2E7D32"/>
              </a:solidFill>
            </a:rPr>
            <a:t> </a:t>
          </a:r>
          <a:r>
            <a:rPr lang="en-US" sz="2800" b="1" i="0" u="none" strike="noStrike">
              <a:solidFill>
                <a:srgbClr val="2E7D32"/>
              </a:solidFill>
              <a:effectLst/>
              <a:latin typeface="+mn-lt"/>
              <a:ea typeface="+mn-ea"/>
              <a:cs typeface="+mn-cs"/>
            </a:rPr>
            <a:t>95%</a:t>
          </a:r>
          <a:r>
            <a:rPr lang="en-US" sz="2800" b="1">
              <a:solidFill>
                <a:srgbClr val="2E7D32"/>
              </a:solidFill>
            </a:rPr>
            <a:t> </a:t>
          </a:r>
        </a:p>
      </xdr:txBody>
    </xdr:sp>
    <xdr:clientData/>
  </xdr:twoCellAnchor>
  <xdr:twoCellAnchor>
    <xdr:from>
      <xdr:col>9</xdr:col>
      <xdr:colOff>121920</xdr:colOff>
      <xdr:row>2</xdr:row>
      <xdr:rowOff>58613</xdr:rowOff>
    </xdr:from>
    <xdr:to>
      <xdr:col>11</xdr:col>
      <xdr:colOff>128954</xdr:colOff>
      <xdr:row>6</xdr:row>
      <xdr:rowOff>37512</xdr:rowOff>
    </xdr:to>
    <xdr:sp macro="" textlink="">
      <xdr:nvSpPr>
        <xdr:cNvPr id="25" name="TextBox 24">
          <a:extLst>
            <a:ext uri="{FF2B5EF4-FFF2-40B4-BE49-F238E27FC236}">
              <a16:creationId xmlns:a16="http://schemas.microsoft.com/office/drawing/2014/main" id="{8BA5C9BD-86CB-4A9D-A6FD-7C9111E84391}"/>
            </a:ext>
          </a:extLst>
        </xdr:cNvPr>
        <xdr:cNvSpPr txBox="1"/>
      </xdr:nvSpPr>
      <xdr:spPr>
        <a:xfrm>
          <a:off x="5692726" y="937844"/>
          <a:ext cx="1244991" cy="71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2E7D32"/>
              </a:solidFill>
              <a:effectLst/>
              <a:latin typeface="+mn-lt"/>
              <a:ea typeface="+mn-ea"/>
              <a:cs typeface="+mn-cs"/>
            </a:rPr>
            <a:t>Effectiveness Rate</a:t>
          </a:r>
          <a:r>
            <a:rPr lang="en-US">
              <a:solidFill>
                <a:srgbClr val="2E7D32"/>
              </a:solidFill>
            </a:rPr>
            <a:t> </a:t>
          </a:r>
          <a:r>
            <a:rPr lang="en-US" sz="2800" b="1" i="0" u="none" strike="noStrike">
              <a:solidFill>
                <a:srgbClr val="2E7D32"/>
              </a:solidFill>
              <a:effectLst/>
              <a:latin typeface="+mn-lt"/>
              <a:ea typeface="+mn-ea"/>
              <a:cs typeface="+mn-cs"/>
            </a:rPr>
            <a:t>92%</a:t>
          </a:r>
          <a:r>
            <a:rPr lang="en-US" sz="2800" b="1">
              <a:solidFill>
                <a:srgbClr val="2E7D32"/>
              </a:solidFill>
            </a:rPr>
            <a:t> </a:t>
          </a:r>
        </a:p>
      </xdr:txBody>
    </xdr:sp>
    <xdr:clientData/>
  </xdr:twoCellAnchor>
  <xdr:twoCellAnchor>
    <xdr:from>
      <xdr:col>12</xdr:col>
      <xdr:colOff>513470</xdr:colOff>
      <xdr:row>2</xdr:row>
      <xdr:rowOff>35167</xdr:rowOff>
    </xdr:from>
    <xdr:to>
      <xdr:col>15</xdr:col>
      <xdr:colOff>239151</xdr:colOff>
      <xdr:row>6</xdr:row>
      <xdr:rowOff>14066</xdr:rowOff>
    </xdr:to>
    <xdr:sp macro="" textlink="">
      <xdr:nvSpPr>
        <xdr:cNvPr id="26" name="TextBox 25">
          <a:extLst>
            <a:ext uri="{FF2B5EF4-FFF2-40B4-BE49-F238E27FC236}">
              <a16:creationId xmlns:a16="http://schemas.microsoft.com/office/drawing/2014/main" id="{2A2200E9-A904-440C-8D39-EFACA7B8AC33}"/>
            </a:ext>
          </a:extLst>
        </xdr:cNvPr>
        <xdr:cNvSpPr txBox="1"/>
      </xdr:nvSpPr>
      <xdr:spPr>
        <a:xfrm>
          <a:off x="7941212" y="914398"/>
          <a:ext cx="1582616" cy="71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2E7D32"/>
              </a:solidFill>
              <a:effectLst/>
              <a:latin typeface="+mn-lt"/>
              <a:ea typeface="+mn-ea"/>
              <a:cs typeface="+mn-cs"/>
            </a:rPr>
            <a:t>Recommendation Rate</a:t>
          </a:r>
          <a:r>
            <a:rPr lang="en-US">
              <a:solidFill>
                <a:srgbClr val="2E7D32"/>
              </a:solidFill>
            </a:rPr>
            <a:t> </a:t>
          </a:r>
          <a:r>
            <a:rPr lang="en-US" sz="2800" b="1" i="0" u="none" strike="noStrike">
              <a:solidFill>
                <a:srgbClr val="2E7D32"/>
              </a:solidFill>
              <a:effectLst/>
              <a:latin typeface="+mn-lt"/>
              <a:ea typeface="+mn-ea"/>
              <a:cs typeface="+mn-cs"/>
            </a:rPr>
            <a:t>78%</a:t>
          </a:r>
          <a:r>
            <a:rPr lang="en-US" sz="2800" b="1">
              <a:solidFill>
                <a:srgbClr val="2E7D32"/>
              </a:solidFill>
            </a:rPr>
            <a:t> </a:t>
          </a:r>
        </a:p>
      </xdr:txBody>
    </xdr:sp>
    <xdr:clientData/>
  </xdr:twoCellAnchor>
  <xdr:twoCellAnchor>
    <xdr:from>
      <xdr:col>17</xdr:col>
      <xdr:colOff>56270</xdr:colOff>
      <xdr:row>2</xdr:row>
      <xdr:rowOff>39856</xdr:rowOff>
    </xdr:from>
    <xdr:to>
      <xdr:col>19</xdr:col>
      <xdr:colOff>175846</xdr:colOff>
      <xdr:row>6</xdr:row>
      <xdr:rowOff>18755</xdr:rowOff>
    </xdr:to>
    <xdr:sp macro="" textlink="">
      <xdr:nvSpPr>
        <xdr:cNvPr id="27" name="TextBox 26">
          <a:extLst>
            <a:ext uri="{FF2B5EF4-FFF2-40B4-BE49-F238E27FC236}">
              <a16:creationId xmlns:a16="http://schemas.microsoft.com/office/drawing/2014/main" id="{9557EAB4-AE8A-4188-B9FF-7023018C8190}"/>
            </a:ext>
          </a:extLst>
        </xdr:cNvPr>
        <xdr:cNvSpPr txBox="1"/>
      </xdr:nvSpPr>
      <xdr:spPr>
        <a:xfrm>
          <a:off x="10578904" y="919087"/>
          <a:ext cx="1357533" cy="710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2E7D32"/>
              </a:solidFill>
              <a:effectLst/>
              <a:latin typeface="+mn-lt"/>
              <a:ea typeface="+mn-ea"/>
              <a:cs typeface="+mn-cs"/>
            </a:rPr>
            <a:t>Side Effects Rate</a:t>
          </a:r>
          <a:r>
            <a:rPr lang="en-US">
              <a:solidFill>
                <a:srgbClr val="2E7D32"/>
              </a:solidFill>
            </a:rPr>
            <a:t> </a:t>
          </a:r>
          <a:r>
            <a:rPr lang="en-US" sz="2800" b="1" i="0" u="none" strike="noStrike">
              <a:solidFill>
                <a:srgbClr val="2E7D32"/>
              </a:solidFill>
              <a:effectLst/>
              <a:latin typeface="+mn-lt"/>
              <a:ea typeface="+mn-ea"/>
              <a:cs typeface="+mn-cs"/>
            </a:rPr>
            <a:t>37%</a:t>
          </a:r>
          <a:r>
            <a:rPr lang="en-US" sz="2800" b="1">
              <a:solidFill>
                <a:srgbClr val="2E7D32"/>
              </a:solidFill>
            </a:rPr>
            <a:t> </a:t>
          </a:r>
        </a:p>
      </xdr:txBody>
    </xdr:sp>
    <xdr:clientData/>
  </xdr:twoCellAnchor>
  <xdr:twoCellAnchor editAs="oneCell">
    <xdr:from>
      <xdr:col>19</xdr:col>
      <xdr:colOff>365760</xdr:colOff>
      <xdr:row>8</xdr:row>
      <xdr:rowOff>25492</xdr:rowOff>
    </xdr:from>
    <xdr:to>
      <xdr:col>21</xdr:col>
      <xdr:colOff>309488</xdr:colOff>
      <xdr:row>13</xdr:row>
      <xdr:rowOff>98478</xdr:rowOff>
    </xdr:to>
    <mc:AlternateContent xmlns:mc="http://schemas.openxmlformats.org/markup-compatibility/2006">
      <mc:Choice xmlns:a14="http://schemas.microsoft.com/office/drawing/2010/main" Requires="a14">
        <xdr:graphicFrame macro="">
          <xdr:nvGraphicFramePr>
            <xdr:cNvPr id="28" name="Gender 1">
              <a:extLst>
                <a:ext uri="{FF2B5EF4-FFF2-40B4-BE49-F238E27FC236}">
                  <a16:creationId xmlns:a16="http://schemas.microsoft.com/office/drawing/2014/main" id="{210BA803-F101-42CC-B560-B1596A4E97E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126351" y="1840224"/>
              <a:ext cx="1181685" cy="987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372794</xdr:colOff>
      <xdr:row>13</xdr:row>
      <xdr:rowOff>148442</xdr:rowOff>
    </xdr:from>
    <xdr:to>
      <xdr:col>21</xdr:col>
      <xdr:colOff>303918</xdr:colOff>
      <xdr:row>18</xdr:row>
      <xdr:rowOff>175846</xdr:rowOff>
    </xdr:to>
    <mc:AlternateContent xmlns:mc="http://schemas.openxmlformats.org/markup-compatibility/2006">
      <mc:Choice xmlns:a14="http://schemas.microsoft.com/office/drawing/2010/main" Requires="a14">
        <xdr:graphicFrame macro="">
          <xdr:nvGraphicFramePr>
            <xdr:cNvPr id="29" name="AgeGroup 1">
              <a:extLst>
                <a:ext uri="{FF2B5EF4-FFF2-40B4-BE49-F238E27FC236}">
                  <a16:creationId xmlns:a16="http://schemas.microsoft.com/office/drawing/2014/main" id="{28970D22-7193-413B-A5E9-4EF60F4AA1E7}"/>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12133385" y="2877574"/>
              <a:ext cx="1169081" cy="941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365761</xdr:colOff>
      <xdr:row>2</xdr:row>
      <xdr:rowOff>91444</xdr:rowOff>
    </xdr:from>
    <xdr:to>
      <xdr:col>21</xdr:col>
      <xdr:colOff>302457</xdr:colOff>
      <xdr:row>7</xdr:row>
      <xdr:rowOff>140678</xdr:rowOff>
    </xdr:to>
    <mc:AlternateContent xmlns:mc="http://schemas.openxmlformats.org/markup-compatibility/2006">
      <mc:Choice xmlns:a14="http://schemas.microsoft.com/office/drawing/2010/main" Requires="a14">
        <xdr:graphicFrame macro="">
          <xdr:nvGraphicFramePr>
            <xdr:cNvPr id="30" name="Location 1">
              <a:extLst>
                <a:ext uri="{FF2B5EF4-FFF2-40B4-BE49-F238E27FC236}">
                  <a16:creationId xmlns:a16="http://schemas.microsoft.com/office/drawing/2014/main" id="{0A775063-E624-4A3A-8987-20684F36BE3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2126352" y="808896"/>
              <a:ext cx="1174653" cy="963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xdr:row>
      <xdr:rowOff>49237</xdr:rowOff>
    </xdr:from>
    <xdr:to>
      <xdr:col>1</xdr:col>
      <xdr:colOff>457201</xdr:colOff>
      <xdr:row>5</xdr:row>
      <xdr:rowOff>56271</xdr:rowOff>
    </xdr:to>
    <xdr:sp macro="" textlink="">
      <xdr:nvSpPr>
        <xdr:cNvPr id="31" name="TextBox 30">
          <a:extLst>
            <a:ext uri="{FF2B5EF4-FFF2-40B4-BE49-F238E27FC236}">
              <a16:creationId xmlns:a16="http://schemas.microsoft.com/office/drawing/2014/main" id="{CA7ACE5E-3ED2-3984-9C75-E84ACB1EBFC7}"/>
            </a:ext>
          </a:extLst>
        </xdr:cNvPr>
        <xdr:cNvSpPr txBox="1"/>
      </xdr:nvSpPr>
      <xdr:spPr>
        <a:xfrm>
          <a:off x="618978" y="1069145"/>
          <a:ext cx="457201" cy="37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a:t>
          </a:r>
          <a:endParaRPr lang="en-US" sz="1600"/>
        </a:p>
      </xdr:txBody>
    </xdr:sp>
    <xdr:clientData/>
  </xdr:twoCellAnchor>
  <xdr:twoCellAnchor>
    <xdr:from>
      <xdr:col>4</xdr:col>
      <xdr:colOff>567397</xdr:colOff>
      <xdr:row>3</xdr:row>
      <xdr:rowOff>110197</xdr:rowOff>
    </xdr:from>
    <xdr:to>
      <xdr:col>5</xdr:col>
      <xdr:colOff>405620</xdr:colOff>
      <xdr:row>5</xdr:row>
      <xdr:rowOff>117231</xdr:rowOff>
    </xdr:to>
    <xdr:sp macro="" textlink="">
      <xdr:nvSpPr>
        <xdr:cNvPr id="32" name="TextBox 31">
          <a:extLst>
            <a:ext uri="{FF2B5EF4-FFF2-40B4-BE49-F238E27FC236}">
              <a16:creationId xmlns:a16="http://schemas.microsoft.com/office/drawing/2014/main" id="{CB534C78-48E6-4476-8473-2F67D3FCA999}"/>
            </a:ext>
          </a:extLst>
        </xdr:cNvPr>
        <xdr:cNvSpPr txBox="1"/>
      </xdr:nvSpPr>
      <xdr:spPr>
        <a:xfrm>
          <a:off x="3043311" y="1130105"/>
          <a:ext cx="457201" cy="37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p>
      </xdr:txBody>
    </xdr:sp>
    <xdr:clientData/>
  </xdr:twoCellAnchor>
  <xdr:twoCellAnchor>
    <xdr:from>
      <xdr:col>8</xdr:col>
      <xdr:colOff>593188</xdr:colOff>
      <xdr:row>3</xdr:row>
      <xdr:rowOff>121920</xdr:rowOff>
    </xdr:from>
    <xdr:to>
      <xdr:col>9</xdr:col>
      <xdr:colOff>431411</xdr:colOff>
      <xdr:row>5</xdr:row>
      <xdr:rowOff>128954</xdr:rowOff>
    </xdr:to>
    <xdr:sp macro="" textlink="">
      <xdr:nvSpPr>
        <xdr:cNvPr id="33" name="TextBox 32">
          <a:extLst>
            <a:ext uri="{FF2B5EF4-FFF2-40B4-BE49-F238E27FC236}">
              <a16:creationId xmlns:a16="http://schemas.microsoft.com/office/drawing/2014/main" id="{65A16268-16B9-4C28-8C7C-6D814C5BA571}"/>
            </a:ext>
          </a:extLst>
        </xdr:cNvPr>
        <xdr:cNvSpPr txBox="1"/>
      </xdr:nvSpPr>
      <xdr:spPr>
        <a:xfrm>
          <a:off x="5545016" y="1141828"/>
          <a:ext cx="457201" cy="37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p>
      </xdr:txBody>
    </xdr:sp>
    <xdr:clientData/>
  </xdr:twoCellAnchor>
  <xdr:twoCellAnchor>
    <xdr:from>
      <xdr:col>12</xdr:col>
      <xdr:colOff>555674</xdr:colOff>
      <xdr:row>3</xdr:row>
      <xdr:rowOff>84406</xdr:rowOff>
    </xdr:from>
    <xdr:to>
      <xdr:col>13</xdr:col>
      <xdr:colOff>393897</xdr:colOff>
      <xdr:row>5</xdr:row>
      <xdr:rowOff>91440</xdr:rowOff>
    </xdr:to>
    <xdr:sp macro="" textlink="">
      <xdr:nvSpPr>
        <xdr:cNvPr id="34" name="TextBox 33">
          <a:extLst>
            <a:ext uri="{FF2B5EF4-FFF2-40B4-BE49-F238E27FC236}">
              <a16:creationId xmlns:a16="http://schemas.microsoft.com/office/drawing/2014/main" id="{84CAC8BE-4203-4C5A-ADF1-641F1053D19A}"/>
            </a:ext>
          </a:extLst>
        </xdr:cNvPr>
        <xdr:cNvSpPr txBox="1"/>
      </xdr:nvSpPr>
      <xdr:spPr>
        <a:xfrm>
          <a:off x="7983416" y="1104314"/>
          <a:ext cx="457201" cy="37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p>
      </xdr:txBody>
    </xdr:sp>
    <xdr:clientData/>
  </xdr:twoCellAnchor>
  <xdr:twoCellAnchor>
    <xdr:from>
      <xdr:col>17</xdr:col>
      <xdr:colOff>25792</xdr:colOff>
      <xdr:row>3</xdr:row>
      <xdr:rowOff>103164</xdr:rowOff>
    </xdr:from>
    <xdr:to>
      <xdr:col>17</xdr:col>
      <xdr:colOff>422031</xdr:colOff>
      <xdr:row>5</xdr:row>
      <xdr:rowOff>110198</xdr:rowOff>
    </xdr:to>
    <xdr:sp macro="" textlink="">
      <xdr:nvSpPr>
        <xdr:cNvPr id="35" name="TextBox 34">
          <a:extLst>
            <a:ext uri="{FF2B5EF4-FFF2-40B4-BE49-F238E27FC236}">
              <a16:creationId xmlns:a16="http://schemas.microsoft.com/office/drawing/2014/main" id="{7A65754C-C118-493E-BA6D-DC1D4869856A}"/>
            </a:ext>
          </a:extLst>
        </xdr:cNvPr>
        <xdr:cNvSpPr txBox="1"/>
      </xdr:nvSpPr>
      <xdr:spPr>
        <a:xfrm>
          <a:off x="10548426" y="1123072"/>
          <a:ext cx="396239" cy="37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r musa isah" refreshedDate="46238.721166898147" createdVersion="8" refreshedVersion="8" minRefreshableVersion="3" recordCount="60" xr:uid="{E0F34315-594D-4269-9BF1-F544F5C6997D}">
  <cacheSource type="worksheet">
    <worksheetSource name="HerbalSurvey"/>
  </cacheSource>
  <cacheFields count="14">
    <cacheField name="RespondentID"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Gender" numFmtId="0">
      <sharedItems count="2">
        <s v="Male"/>
        <s v="Female"/>
      </sharedItems>
    </cacheField>
    <cacheField name="AgeGroup" numFmtId="0">
      <sharedItems count="2">
        <s v="18 - 30"/>
        <s v="31 - 50"/>
      </sharedItems>
    </cacheField>
    <cacheField name="Location" numFmtId="0">
      <sharedItems count="2">
        <s v="Urban"/>
        <s v="Rural"/>
      </sharedItems>
    </cacheField>
    <cacheField name="UsesHerbalRemedies" numFmtId="0">
      <sharedItems count="2">
        <s v="Yes"/>
        <s v="No"/>
      </sharedItems>
    </cacheField>
    <cacheField name="HerbsUsed" numFmtId="0">
      <sharedItems count="8">
        <s v="Leaves, Roots"/>
        <s v="Leaves, Roots, Mixtures"/>
        <s v="Others"/>
        <s v="Mixtures"/>
        <s v="Roots"/>
        <s v="Leaves, Mixtures"/>
        <s v="Leaves"/>
        <s v="Leaves, Mixtures, Others"/>
      </sharedItems>
    </cacheField>
    <cacheField name="UsageFrequency" numFmtId="0">
      <sharedItems count="4">
        <s v="Rarely"/>
        <s v="Occationally"/>
        <s v="Daily"/>
        <s v="Weekly"/>
      </sharedItems>
    </cacheField>
    <cacheField name="ReasonForUse" numFmtId="0">
      <sharedItems count="12">
        <s v="Affordable, Effecctive"/>
        <s v="Affordable, Easy access, Cultural belief"/>
        <s v="Easy access"/>
        <s v="Effecctive"/>
        <s v="Cultural belief"/>
        <s v="Affordable, Cultural belief"/>
        <s v="Easy access, Effecctive"/>
        <s v="Affordable"/>
        <s v="Easy access, Cultural belief"/>
        <s v="Affordable, Cultural belief, Effecctive"/>
        <s v="Affordable, Easy access, Effecctive"/>
        <s v="Affordable, Easy access"/>
      </sharedItems>
    </cacheField>
    <cacheField name="HerbSource" numFmtId="0">
      <sharedItems count="4">
        <s v="Self"/>
        <s v="Family/freinds"/>
        <s v="Traditional healer"/>
        <s v="Others"/>
      </sharedItems>
    </cacheField>
    <cacheField name="IsEffective" numFmtId="0">
      <sharedItems count="3">
        <s v="Yes"/>
        <s v="No"/>
        <s v="Not sure"/>
      </sharedItems>
    </cacheField>
    <cacheField name="EffectivenessLevel" numFmtId="0">
      <sharedItems/>
    </cacheField>
    <cacheField name="HasSideEffects" numFmtId="0">
      <sharedItems count="2">
        <s v="Yes"/>
        <s v="No"/>
      </sharedItems>
    </cacheField>
    <cacheField name="CombineWithHospitalMedicine" numFmtId="0">
      <sharedItems count="2">
        <s v="No"/>
        <s v="Yes"/>
      </sharedItems>
    </cacheField>
    <cacheField name="RecommendToOthers" numFmtId="0">
      <sharedItems count="2">
        <s v="Yes"/>
        <s v="No"/>
      </sharedItems>
    </cacheField>
  </cacheFields>
  <extLst>
    <ext xmlns:x14="http://schemas.microsoft.com/office/spreadsheetml/2009/9/main" uri="{725AE2AE-9491-48be-B2B4-4EB974FC3084}">
      <x14:pivotCacheDefinition pivotCacheId="1504885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x v="0"/>
    <x v="0"/>
    <x v="0"/>
    <x v="0"/>
    <s v="Moderate"/>
    <x v="0"/>
    <x v="0"/>
    <x v="0"/>
  </r>
  <r>
    <x v="1"/>
    <x v="0"/>
    <x v="1"/>
    <x v="0"/>
    <x v="0"/>
    <x v="1"/>
    <x v="1"/>
    <x v="1"/>
    <x v="1"/>
    <x v="0"/>
    <s v="Very effective"/>
    <x v="1"/>
    <x v="0"/>
    <x v="0"/>
  </r>
  <r>
    <x v="2"/>
    <x v="0"/>
    <x v="0"/>
    <x v="0"/>
    <x v="0"/>
    <x v="2"/>
    <x v="2"/>
    <x v="2"/>
    <x v="0"/>
    <x v="1"/>
    <s v="Not effective"/>
    <x v="0"/>
    <x v="1"/>
    <x v="0"/>
  </r>
  <r>
    <x v="3"/>
    <x v="0"/>
    <x v="0"/>
    <x v="0"/>
    <x v="0"/>
    <x v="3"/>
    <x v="1"/>
    <x v="2"/>
    <x v="2"/>
    <x v="0"/>
    <s v="Moderate"/>
    <x v="1"/>
    <x v="0"/>
    <x v="0"/>
  </r>
  <r>
    <x v="4"/>
    <x v="0"/>
    <x v="0"/>
    <x v="1"/>
    <x v="0"/>
    <x v="3"/>
    <x v="1"/>
    <x v="3"/>
    <x v="2"/>
    <x v="0"/>
    <s v="Very effective"/>
    <x v="1"/>
    <x v="1"/>
    <x v="0"/>
  </r>
  <r>
    <x v="5"/>
    <x v="0"/>
    <x v="0"/>
    <x v="1"/>
    <x v="0"/>
    <x v="4"/>
    <x v="3"/>
    <x v="4"/>
    <x v="2"/>
    <x v="1"/>
    <s v="Moderate"/>
    <x v="0"/>
    <x v="0"/>
    <x v="0"/>
  </r>
  <r>
    <x v="6"/>
    <x v="0"/>
    <x v="0"/>
    <x v="0"/>
    <x v="0"/>
    <x v="5"/>
    <x v="0"/>
    <x v="5"/>
    <x v="2"/>
    <x v="0"/>
    <s v="Moderate"/>
    <x v="0"/>
    <x v="1"/>
    <x v="0"/>
  </r>
  <r>
    <x v="7"/>
    <x v="0"/>
    <x v="0"/>
    <x v="1"/>
    <x v="0"/>
    <x v="0"/>
    <x v="3"/>
    <x v="2"/>
    <x v="2"/>
    <x v="1"/>
    <s v="Moderate"/>
    <x v="0"/>
    <x v="0"/>
    <x v="0"/>
  </r>
  <r>
    <x v="8"/>
    <x v="0"/>
    <x v="0"/>
    <x v="0"/>
    <x v="0"/>
    <x v="6"/>
    <x v="1"/>
    <x v="4"/>
    <x v="2"/>
    <x v="0"/>
    <s v="Moderate"/>
    <x v="1"/>
    <x v="1"/>
    <x v="0"/>
  </r>
  <r>
    <x v="9"/>
    <x v="1"/>
    <x v="0"/>
    <x v="0"/>
    <x v="0"/>
    <x v="6"/>
    <x v="1"/>
    <x v="6"/>
    <x v="1"/>
    <x v="0"/>
    <s v="Moderate"/>
    <x v="0"/>
    <x v="0"/>
    <x v="0"/>
  </r>
  <r>
    <x v="10"/>
    <x v="0"/>
    <x v="1"/>
    <x v="1"/>
    <x v="0"/>
    <x v="3"/>
    <x v="0"/>
    <x v="3"/>
    <x v="3"/>
    <x v="0"/>
    <s v="Moderate"/>
    <x v="1"/>
    <x v="0"/>
    <x v="0"/>
  </r>
  <r>
    <x v="11"/>
    <x v="0"/>
    <x v="1"/>
    <x v="1"/>
    <x v="0"/>
    <x v="0"/>
    <x v="0"/>
    <x v="1"/>
    <x v="0"/>
    <x v="0"/>
    <s v="Very effective"/>
    <x v="0"/>
    <x v="1"/>
    <x v="0"/>
  </r>
  <r>
    <x v="12"/>
    <x v="0"/>
    <x v="1"/>
    <x v="1"/>
    <x v="0"/>
    <x v="3"/>
    <x v="1"/>
    <x v="3"/>
    <x v="0"/>
    <x v="0"/>
    <s v="Very effective"/>
    <x v="1"/>
    <x v="1"/>
    <x v="0"/>
  </r>
  <r>
    <x v="13"/>
    <x v="0"/>
    <x v="1"/>
    <x v="0"/>
    <x v="0"/>
    <x v="3"/>
    <x v="0"/>
    <x v="1"/>
    <x v="2"/>
    <x v="0"/>
    <s v="Moderate"/>
    <x v="0"/>
    <x v="1"/>
    <x v="0"/>
  </r>
  <r>
    <x v="14"/>
    <x v="0"/>
    <x v="0"/>
    <x v="1"/>
    <x v="1"/>
    <x v="2"/>
    <x v="3"/>
    <x v="7"/>
    <x v="1"/>
    <x v="0"/>
    <s v="Very effective"/>
    <x v="1"/>
    <x v="0"/>
    <x v="0"/>
  </r>
  <r>
    <x v="15"/>
    <x v="0"/>
    <x v="0"/>
    <x v="1"/>
    <x v="1"/>
    <x v="4"/>
    <x v="3"/>
    <x v="7"/>
    <x v="2"/>
    <x v="0"/>
    <s v="Moderate"/>
    <x v="0"/>
    <x v="0"/>
    <x v="0"/>
  </r>
  <r>
    <x v="16"/>
    <x v="0"/>
    <x v="0"/>
    <x v="0"/>
    <x v="0"/>
    <x v="2"/>
    <x v="0"/>
    <x v="3"/>
    <x v="0"/>
    <x v="0"/>
    <s v="Moderate"/>
    <x v="0"/>
    <x v="0"/>
    <x v="0"/>
  </r>
  <r>
    <x v="17"/>
    <x v="0"/>
    <x v="0"/>
    <x v="1"/>
    <x v="1"/>
    <x v="4"/>
    <x v="0"/>
    <x v="3"/>
    <x v="0"/>
    <x v="0"/>
    <s v="Moderate"/>
    <x v="0"/>
    <x v="0"/>
    <x v="0"/>
  </r>
  <r>
    <x v="18"/>
    <x v="0"/>
    <x v="1"/>
    <x v="0"/>
    <x v="0"/>
    <x v="7"/>
    <x v="0"/>
    <x v="8"/>
    <x v="2"/>
    <x v="0"/>
    <s v="Very effective"/>
    <x v="0"/>
    <x v="1"/>
    <x v="0"/>
  </r>
  <r>
    <x v="19"/>
    <x v="0"/>
    <x v="1"/>
    <x v="1"/>
    <x v="0"/>
    <x v="3"/>
    <x v="3"/>
    <x v="3"/>
    <x v="3"/>
    <x v="0"/>
    <s v="Moderate"/>
    <x v="0"/>
    <x v="1"/>
    <x v="0"/>
  </r>
  <r>
    <x v="20"/>
    <x v="0"/>
    <x v="1"/>
    <x v="0"/>
    <x v="0"/>
    <x v="3"/>
    <x v="1"/>
    <x v="3"/>
    <x v="2"/>
    <x v="0"/>
    <s v="Very effective"/>
    <x v="0"/>
    <x v="0"/>
    <x v="0"/>
  </r>
  <r>
    <x v="21"/>
    <x v="0"/>
    <x v="0"/>
    <x v="0"/>
    <x v="0"/>
    <x v="6"/>
    <x v="3"/>
    <x v="7"/>
    <x v="1"/>
    <x v="0"/>
    <s v="Moderate"/>
    <x v="0"/>
    <x v="1"/>
    <x v="0"/>
  </r>
  <r>
    <x v="22"/>
    <x v="0"/>
    <x v="1"/>
    <x v="1"/>
    <x v="0"/>
    <x v="6"/>
    <x v="2"/>
    <x v="4"/>
    <x v="1"/>
    <x v="2"/>
    <s v="Very effective"/>
    <x v="1"/>
    <x v="1"/>
    <x v="0"/>
  </r>
  <r>
    <x v="23"/>
    <x v="0"/>
    <x v="0"/>
    <x v="1"/>
    <x v="0"/>
    <x v="3"/>
    <x v="0"/>
    <x v="9"/>
    <x v="1"/>
    <x v="0"/>
    <s v="Very effective"/>
    <x v="0"/>
    <x v="1"/>
    <x v="0"/>
  </r>
  <r>
    <x v="24"/>
    <x v="0"/>
    <x v="1"/>
    <x v="1"/>
    <x v="0"/>
    <x v="6"/>
    <x v="2"/>
    <x v="7"/>
    <x v="1"/>
    <x v="0"/>
    <s v="Very effective"/>
    <x v="0"/>
    <x v="0"/>
    <x v="1"/>
  </r>
  <r>
    <x v="25"/>
    <x v="0"/>
    <x v="0"/>
    <x v="1"/>
    <x v="0"/>
    <x v="5"/>
    <x v="0"/>
    <x v="4"/>
    <x v="2"/>
    <x v="0"/>
    <s v="Moderate"/>
    <x v="0"/>
    <x v="0"/>
    <x v="0"/>
  </r>
  <r>
    <x v="26"/>
    <x v="0"/>
    <x v="0"/>
    <x v="1"/>
    <x v="0"/>
    <x v="6"/>
    <x v="3"/>
    <x v="2"/>
    <x v="1"/>
    <x v="0"/>
    <s v="Moderate"/>
    <x v="1"/>
    <x v="1"/>
    <x v="0"/>
  </r>
  <r>
    <x v="27"/>
    <x v="0"/>
    <x v="1"/>
    <x v="1"/>
    <x v="0"/>
    <x v="0"/>
    <x v="0"/>
    <x v="4"/>
    <x v="2"/>
    <x v="0"/>
    <s v="Moderate"/>
    <x v="1"/>
    <x v="1"/>
    <x v="0"/>
  </r>
  <r>
    <x v="28"/>
    <x v="0"/>
    <x v="0"/>
    <x v="0"/>
    <x v="0"/>
    <x v="1"/>
    <x v="2"/>
    <x v="10"/>
    <x v="0"/>
    <x v="0"/>
    <s v="Very effective"/>
    <x v="0"/>
    <x v="1"/>
    <x v="0"/>
  </r>
  <r>
    <x v="29"/>
    <x v="0"/>
    <x v="0"/>
    <x v="1"/>
    <x v="0"/>
    <x v="3"/>
    <x v="1"/>
    <x v="3"/>
    <x v="2"/>
    <x v="0"/>
    <s v="Moderate"/>
    <x v="0"/>
    <x v="0"/>
    <x v="0"/>
  </r>
  <r>
    <x v="30"/>
    <x v="0"/>
    <x v="0"/>
    <x v="1"/>
    <x v="0"/>
    <x v="3"/>
    <x v="1"/>
    <x v="3"/>
    <x v="0"/>
    <x v="0"/>
    <s v="Very effective"/>
    <x v="1"/>
    <x v="1"/>
    <x v="0"/>
  </r>
  <r>
    <x v="31"/>
    <x v="0"/>
    <x v="1"/>
    <x v="0"/>
    <x v="0"/>
    <x v="3"/>
    <x v="1"/>
    <x v="4"/>
    <x v="2"/>
    <x v="0"/>
    <s v="Very effective"/>
    <x v="1"/>
    <x v="0"/>
    <x v="0"/>
  </r>
  <r>
    <x v="32"/>
    <x v="0"/>
    <x v="1"/>
    <x v="0"/>
    <x v="0"/>
    <x v="6"/>
    <x v="3"/>
    <x v="5"/>
    <x v="1"/>
    <x v="0"/>
    <s v="Moderate"/>
    <x v="0"/>
    <x v="1"/>
    <x v="0"/>
  </r>
  <r>
    <x v="33"/>
    <x v="0"/>
    <x v="1"/>
    <x v="0"/>
    <x v="0"/>
    <x v="6"/>
    <x v="1"/>
    <x v="3"/>
    <x v="2"/>
    <x v="0"/>
    <s v="Moderate"/>
    <x v="1"/>
    <x v="1"/>
    <x v="0"/>
  </r>
  <r>
    <x v="34"/>
    <x v="0"/>
    <x v="0"/>
    <x v="0"/>
    <x v="0"/>
    <x v="2"/>
    <x v="0"/>
    <x v="4"/>
    <x v="2"/>
    <x v="0"/>
    <s v="Moderate"/>
    <x v="1"/>
    <x v="1"/>
    <x v="1"/>
  </r>
  <r>
    <x v="35"/>
    <x v="0"/>
    <x v="1"/>
    <x v="0"/>
    <x v="0"/>
    <x v="2"/>
    <x v="0"/>
    <x v="4"/>
    <x v="2"/>
    <x v="0"/>
    <s v="Moderate"/>
    <x v="1"/>
    <x v="1"/>
    <x v="1"/>
  </r>
  <r>
    <x v="36"/>
    <x v="0"/>
    <x v="0"/>
    <x v="0"/>
    <x v="0"/>
    <x v="2"/>
    <x v="0"/>
    <x v="4"/>
    <x v="2"/>
    <x v="0"/>
    <s v="Moderate"/>
    <x v="1"/>
    <x v="0"/>
    <x v="1"/>
  </r>
  <r>
    <x v="37"/>
    <x v="0"/>
    <x v="0"/>
    <x v="0"/>
    <x v="0"/>
    <x v="4"/>
    <x v="1"/>
    <x v="4"/>
    <x v="2"/>
    <x v="0"/>
    <s v="Moderate"/>
    <x v="1"/>
    <x v="0"/>
    <x v="1"/>
  </r>
  <r>
    <x v="38"/>
    <x v="1"/>
    <x v="0"/>
    <x v="0"/>
    <x v="0"/>
    <x v="6"/>
    <x v="3"/>
    <x v="4"/>
    <x v="1"/>
    <x v="0"/>
    <s v="Moderate"/>
    <x v="1"/>
    <x v="0"/>
    <x v="1"/>
  </r>
  <r>
    <x v="39"/>
    <x v="1"/>
    <x v="0"/>
    <x v="0"/>
    <x v="0"/>
    <x v="3"/>
    <x v="1"/>
    <x v="4"/>
    <x v="2"/>
    <x v="0"/>
    <s v="Moderate"/>
    <x v="1"/>
    <x v="0"/>
    <x v="1"/>
  </r>
  <r>
    <x v="40"/>
    <x v="1"/>
    <x v="1"/>
    <x v="1"/>
    <x v="0"/>
    <x v="3"/>
    <x v="1"/>
    <x v="4"/>
    <x v="1"/>
    <x v="0"/>
    <s v="Moderate"/>
    <x v="1"/>
    <x v="1"/>
    <x v="0"/>
  </r>
  <r>
    <x v="41"/>
    <x v="1"/>
    <x v="1"/>
    <x v="1"/>
    <x v="0"/>
    <x v="4"/>
    <x v="3"/>
    <x v="3"/>
    <x v="1"/>
    <x v="0"/>
    <s v="Moderate"/>
    <x v="1"/>
    <x v="1"/>
    <x v="0"/>
  </r>
  <r>
    <x v="42"/>
    <x v="1"/>
    <x v="0"/>
    <x v="1"/>
    <x v="0"/>
    <x v="3"/>
    <x v="1"/>
    <x v="0"/>
    <x v="1"/>
    <x v="0"/>
    <s v="Very effective"/>
    <x v="1"/>
    <x v="1"/>
    <x v="0"/>
  </r>
  <r>
    <x v="43"/>
    <x v="1"/>
    <x v="0"/>
    <x v="1"/>
    <x v="0"/>
    <x v="2"/>
    <x v="0"/>
    <x v="4"/>
    <x v="2"/>
    <x v="0"/>
    <s v="Not effective"/>
    <x v="0"/>
    <x v="0"/>
    <x v="1"/>
  </r>
  <r>
    <x v="44"/>
    <x v="1"/>
    <x v="0"/>
    <x v="1"/>
    <x v="0"/>
    <x v="4"/>
    <x v="3"/>
    <x v="7"/>
    <x v="2"/>
    <x v="0"/>
    <s v="Very effective"/>
    <x v="1"/>
    <x v="1"/>
    <x v="0"/>
  </r>
  <r>
    <x v="45"/>
    <x v="1"/>
    <x v="0"/>
    <x v="1"/>
    <x v="0"/>
    <x v="4"/>
    <x v="1"/>
    <x v="2"/>
    <x v="2"/>
    <x v="0"/>
    <s v="Moderate"/>
    <x v="1"/>
    <x v="0"/>
    <x v="0"/>
  </r>
  <r>
    <x v="46"/>
    <x v="1"/>
    <x v="0"/>
    <x v="0"/>
    <x v="0"/>
    <x v="2"/>
    <x v="0"/>
    <x v="4"/>
    <x v="1"/>
    <x v="0"/>
    <s v="Moderate"/>
    <x v="1"/>
    <x v="0"/>
    <x v="1"/>
  </r>
  <r>
    <x v="47"/>
    <x v="1"/>
    <x v="0"/>
    <x v="0"/>
    <x v="0"/>
    <x v="3"/>
    <x v="3"/>
    <x v="4"/>
    <x v="2"/>
    <x v="0"/>
    <s v="Very effective"/>
    <x v="1"/>
    <x v="1"/>
    <x v="0"/>
  </r>
  <r>
    <x v="48"/>
    <x v="1"/>
    <x v="0"/>
    <x v="1"/>
    <x v="0"/>
    <x v="3"/>
    <x v="2"/>
    <x v="4"/>
    <x v="2"/>
    <x v="0"/>
    <s v="Very effective"/>
    <x v="1"/>
    <x v="1"/>
    <x v="0"/>
  </r>
  <r>
    <x v="49"/>
    <x v="1"/>
    <x v="1"/>
    <x v="0"/>
    <x v="0"/>
    <x v="4"/>
    <x v="1"/>
    <x v="2"/>
    <x v="1"/>
    <x v="0"/>
    <s v="Very effective"/>
    <x v="1"/>
    <x v="1"/>
    <x v="0"/>
  </r>
  <r>
    <x v="50"/>
    <x v="1"/>
    <x v="0"/>
    <x v="1"/>
    <x v="0"/>
    <x v="6"/>
    <x v="1"/>
    <x v="4"/>
    <x v="2"/>
    <x v="0"/>
    <s v="Moderate"/>
    <x v="1"/>
    <x v="1"/>
    <x v="1"/>
  </r>
  <r>
    <x v="51"/>
    <x v="1"/>
    <x v="0"/>
    <x v="1"/>
    <x v="0"/>
    <x v="2"/>
    <x v="1"/>
    <x v="7"/>
    <x v="1"/>
    <x v="0"/>
    <s v="Very effective"/>
    <x v="1"/>
    <x v="1"/>
    <x v="0"/>
  </r>
  <r>
    <x v="52"/>
    <x v="1"/>
    <x v="0"/>
    <x v="0"/>
    <x v="0"/>
    <x v="4"/>
    <x v="1"/>
    <x v="4"/>
    <x v="1"/>
    <x v="0"/>
    <s v="Very effective"/>
    <x v="1"/>
    <x v="1"/>
    <x v="0"/>
  </r>
  <r>
    <x v="53"/>
    <x v="1"/>
    <x v="0"/>
    <x v="0"/>
    <x v="0"/>
    <x v="3"/>
    <x v="1"/>
    <x v="4"/>
    <x v="2"/>
    <x v="0"/>
    <s v="Very effective"/>
    <x v="1"/>
    <x v="1"/>
    <x v="0"/>
  </r>
  <r>
    <x v="54"/>
    <x v="1"/>
    <x v="1"/>
    <x v="1"/>
    <x v="0"/>
    <x v="6"/>
    <x v="1"/>
    <x v="4"/>
    <x v="1"/>
    <x v="0"/>
    <s v="Moderate"/>
    <x v="1"/>
    <x v="1"/>
    <x v="0"/>
  </r>
  <r>
    <x v="55"/>
    <x v="0"/>
    <x v="1"/>
    <x v="0"/>
    <x v="0"/>
    <x v="3"/>
    <x v="1"/>
    <x v="5"/>
    <x v="2"/>
    <x v="0"/>
    <s v="Moderate"/>
    <x v="1"/>
    <x v="1"/>
    <x v="1"/>
  </r>
  <r>
    <x v="56"/>
    <x v="0"/>
    <x v="1"/>
    <x v="0"/>
    <x v="0"/>
    <x v="4"/>
    <x v="3"/>
    <x v="11"/>
    <x v="2"/>
    <x v="0"/>
    <s v="Very effective"/>
    <x v="1"/>
    <x v="1"/>
    <x v="0"/>
  </r>
  <r>
    <x v="57"/>
    <x v="0"/>
    <x v="1"/>
    <x v="1"/>
    <x v="0"/>
    <x v="2"/>
    <x v="0"/>
    <x v="4"/>
    <x v="1"/>
    <x v="0"/>
    <s v="Not effective"/>
    <x v="1"/>
    <x v="1"/>
    <x v="1"/>
  </r>
  <r>
    <x v="58"/>
    <x v="0"/>
    <x v="1"/>
    <x v="1"/>
    <x v="0"/>
    <x v="2"/>
    <x v="1"/>
    <x v="5"/>
    <x v="2"/>
    <x v="1"/>
    <s v="Not effective"/>
    <x v="1"/>
    <x v="0"/>
    <x v="1"/>
  </r>
  <r>
    <x v="59"/>
    <x v="0"/>
    <x v="1"/>
    <x v="1"/>
    <x v="0"/>
    <x v="3"/>
    <x v="1"/>
    <x v="8"/>
    <x v="2"/>
    <x v="0"/>
    <s v="Moderate"/>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76C8CF-8CD9-467A-8734-17F1808731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4">
    <pivotField dataField="1" showAll="0"/>
    <pivotField axis="axisRow"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RespondentID" fld="0" subtotal="count" baseField="1"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0"/>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45831-1F85-483F-8864-578B50D5DED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6:B59"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 showAll="0" sortType="descending">
      <items count="5">
        <item x="2"/>
        <item x="0"/>
        <item x="3"/>
        <item x="1"/>
        <item t="default"/>
      </items>
    </pivotField>
    <pivotField showAll="0">
      <items count="4">
        <item x="1"/>
        <item x="2"/>
        <item x="0"/>
        <item t="default"/>
      </items>
    </pivotField>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Total Respondents" fld="0" subtotal="count" baseField="11"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1" count="1" selected="0">
            <x v="0"/>
          </reference>
        </references>
      </pivotArea>
    </chartFormat>
    <chartFormat chart="6"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938545-7243-4698-A1DF-14797F57C8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6:J59"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 showAll="0" sortType="descending">
      <items count="5">
        <item x="2"/>
        <item x="0"/>
        <item x="3"/>
        <item x="1"/>
        <item t="default"/>
      </items>
    </pivotField>
    <pivotField showAll="0">
      <items count="4">
        <item x="1"/>
        <item x="2"/>
        <item x="0"/>
        <item t="default"/>
      </items>
    </pivotField>
    <pivotField showAll="0"/>
    <pivotField showAll="0">
      <items count="3">
        <item x="1"/>
        <item x="0"/>
        <item t="default"/>
      </items>
    </pivotField>
    <pivotField axis="axisRow" showAll="0">
      <items count="3">
        <item x="0"/>
        <item x="1"/>
        <item t="default"/>
      </items>
    </pivotField>
    <pivotField showAll="0">
      <items count="3">
        <item x="1"/>
        <item x="0"/>
        <item t="default"/>
      </items>
    </pivotField>
  </pivotFields>
  <rowFields count="1">
    <field x="12"/>
  </rowFields>
  <rowItems count="3">
    <i>
      <x/>
    </i>
    <i>
      <x v="1"/>
    </i>
    <i t="grand">
      <x/>
    </i>
  </rowItems>
  <colItems count="1">
    <i/>
  </colItems>
  <dataFields count="1">
    <dataField name="Total Respondents"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603468-2FE6-46A9-BA33-BF42415395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51"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sortType="descending">
      <items count="9">
        <item x="4"/>
        <item x="2"/>
        <item x="3"/>
        <item x="1"/>
        <item x="0"/>
        <item x="7"/>
        <item x="5"/>
        <item x="6"/>
        <item t="default"/>
      </items>
    </pivotField>
    <pivotField showAll="0">
      <items count="5">
        <item x="2"/>
        <item x="1"/>
        <item x="0"/>
        <item x="3"/>
        <item t="default"/>
      </items>
    </pivotField>
    <pivotField axis="axisRow" showAll="0" sortType="descending">
      <items count="13">
        <item x="3"/>
        <item x="6"/>
        <item x="8"/>
        <item x="2"/>
        <item x="4"/>
        <item x="0"/>
        <item x="10"/>
        <item x="1"/>
        <item x="11"/>
        <item x="9"/>
        <item x="5"/>
        <item x="7"/>
        <item t="default"/>
      </items>
    </pivotField>
    <pivotField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Total Respondents"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0468F3-79C9-460B-8B50-4986A78A53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6" firstHeaderRow="1" firstDataRow="1" firstDataCol="1"/>
  <pivotFields count="14">
    <pivotField dataField="1" showAll="0"/>
    <pivotField showAll="0">
      <items count="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RespondentID" fld="0" subtotal="count" baseField="2"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ED18DA-C046-4458-9574-DF047DEF9F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8:J42"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 showAll="0" sortType="descending">
      <items count="5">
        <item x="2"/>
        <item x="0"/>
        <item x="3"/>
        <item x="1"/>
        <item t="default"/>
      </items>
    </pivotField>
    <pivotField axis="axisRow" showAll="0">
      <items count="4">
        <item x="1"/>
        <item x="2"/>
        <item x="0"/>
        <item t="default"/>
      </items>
    </pivotField>
    <pivotField showAll="0"/>
    <pivotField showAll="0"/>
    <pivotField showAll="0"/>
    <pivotField showAll="0"/>
  </pivotFields>
  <rowFields count="1">
    <field x="9"/>
  </rowFields>
  <rowItems count="4">
    <i>
      <x/>
    </i>
    <i>
      <x v="1"/>
    </i>
    <i>
      <x v="2"/>
    </i>
    <i t="grand">
      <x/>
    </i>
  </rowItems>
  <colItems count="1">
    <i/>
  </colItems>
  <dataFields count="1">
    <dataField name="Total Respondents" fld="0" subtotal="count" baseField="9"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462579-B8DD-47EC-8D55-9FACA08865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3"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Total Respondents" fld="0" subtotal="count" baseField="4"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D14198-CF8F-4406-8A29-2ED97B43AB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0:F26" firstHeaderRow="1" firstDataRow="1" firstDataCol="1"/>
  <pivotFields count="14">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axis="axisRow" showAll="0" measureFilter="1" sortType="descending">
      <items count="9">
        <item x="4"/>
        <item x="2"/>
        <item x="3"/>
        <item x="1"/>
        <item x="0"/>
        <item x="7"/>
        <item x="5"/>
        <item x="6"/>
        <item t="default"/>
      </items>
    </pivotField>
    <pivotField showAll="0"/>
    <pivotField showAll="0"/>
    <pivotField showAll="0"/>
    <pivotField showAll="0"/>
    <pivotField showAll="0"/>
    <pivotField showAll="0"/>
    <pivotField showAll="0"/>
    <pivotField showAll="0"/>
  </pivotFields>
  <rowFields count="1">
    <field x="5"/>
  </rowFields>
  <rowItems count="6">
    <i>
      <x/>
    </i>
    <i>
      <x v="1"/>
    </i>
    <i>
      <x v="2"/>
    </i>
    <i>
      <x v="4"/>
    </i>
    <i>
      <x v="7"/>
    </i>
    <i t="grand">
      <x/>
    </i>
  </rowItems>
  <colItems count="1">
    <i/>
  </colItems>
  <dataFields count="1">
    <dataField name="Total Users" fld="0" subtotal="count" baseField="5"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FDB1F4-2EC8-42B3-98E9-BFFC099521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0:J25"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sortType="descending">
      <items count="9">
        <item x="4"/>
        <item x="2"/>
        <item x="3"/>
        <item x="1"/>
        <item x="0"/>
        <item x="7"/>
        <item x="5"/>
        <item x="6"/>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Total Respondents" fld="0" subtotal="count" baseField="6"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52379F-8FBA-4BD5-8988-64D730F5F4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6" firstHeaderRow="1" firstDataRow="1" firstDataCol="1"/>
  <pivotFields count="14">
    <pivotField dataField="1" showAll="0"/>
    <pivotField showAll="0">
      <items count="3">
        <item x="1"/>
        <item x="0"/>
        <item t="default"/>
      </items>
    </pivotField>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RespondentID" fld="0"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99FFC1-E20F-4666-90C3-D0CD9CC03A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6:F59"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 showAll="0" sortType="descending">
      <items count="5">
        <item x="2"/>
        <item x="0"/>
        <item x="3"/>
        <item x="1"/>
        <item t="default"/>
      </items>
    </pivotField>
    <pivotField showAll="0">
      <items count="4">
        <item x="1"/>
        <item x="2"/>
        <item x="0"/>
        <item t="default"/>
      </items>
    </pivotField>
    <pivotField showAll="0"/>
    <pivotField showAll="0">
      <items count="3">
        <item x="1"/>
        <item x="0"/>
        <item t="default"/>
      </items>
    </pivotField>
    <pivotField showAll="0"/>
    <pivotField axis="axisRow" showAll="0">
      <items count="3">
        <item x="1"/>
        <item x="0"/>
        <item t="default"/>
      </items>
    </pivotField>
  </pivotFields>
  <rowFields count="1">
    <field x="13"/>
  </rowFields>
  <rowItems count="3">
    <i>
      <x/>
    </i>
    <i>
      <x v="1"/>
    </i>
    <i t="grand">
      <x/>
    </i>
  </rowItems>
  <colItems count="1">
    <i/>
  </colItems>
  <dataFields count="1">
    <dataField name="Total Respondents"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EB3DDD-6042-4166-B8F1-5317BE0FE1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8:F43" firstHeaderRow="1" firstDataRow="1" firstDataCol="1"/>
  <pivotFields count="14">
    <pivotField dataField="1" showAll="0"/>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 axis="axisRow" showAll="0" sortType="descending">
      <items count="5">
        <item x="2"/>
        <item x="0"/>
        <item x="3"/>
        <item x="1"/>
        <item t="default"/>
      </items>
    </pivotField>
    <pivotField showAll="0"/>
    <pivotField showAll="0"/>
    <pivotField showAll="0"/>
    <pivotField showAll="0"/>
    <pivotField showAll="0"/>
  </pivotFields>
  <rowFields count="1">
    <field x="8"/>
  </rowFields>
  <rowItems count="5">
    <i>
      <x/>
    </i>
    <i>
      <x v="1"/>
    </i>
    <i>
      <x v="2"/>
    </i>
    <i>
      <x v="3"/>
    </i>
    <i t="grand">
      <x/>
    </i>
  </rowItems>
  <colItems count="1">
    <i/>
  </colItems>
  <dataFields count="1">
    <dataField name="Total Respondents"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86E972-170D-4B2E-B9C1-B8DD8912061A}" sourceName="Gender">
  <pivotTables>
    <pivotTable tabId="8" name="PivotTable1"/>
  </pivotTables>
  <data>
    <tabular pivotCacheId="15048859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219EF66-803C-4A66-B053-2064F89CE1D4}" sourceName="AgeGroup">
  <pivotTables>
    <pivotTable tabId="8" name="PivotTable1"/>
  </pivotTables>
  <data>
    <tabular pivotCacheId="15048859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8C81763-A2AB-4676-B760-F087101B2BD2}" sourceName="Location">
  <pivotTables>
    <pivotTable tabId="8" name="PivotTable1"/>
  </pivotTables>
  <data>
    <tabular pivotCacheId="15048859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165695-418A-41D3-8806-ACF413C775F5}" cache="Slicer_Gender" caption="Gender" rowHeight="253511"/>
  <slicer name="AgeGroup" xr10:uid="{721C0619-CDBA-42FA-9AE9-A9E4CE40751C}" cache="Slicer_AgeGroup" caption="AgeGroup" rowHeight="253511"/>
  <slicer name="Location" xr10:uid="{D29688A2-1E38-4DDB-A348-7CA5DAEC3638}" cache="Slicer_Location" caption="Location" rowHeight="25351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CF8362A-ABBC-456F-A01C-EFB8FBB3701D}" cache="Slicer_Gender" caption="Gender" style="Slicer Style 1" rowHeight="253511"/>
  <slicer name="AgeGroup 1" xr10:uid="{D39B70C3-CC54-48AF-B0E3-9ECB9CC87673}" cache="Slicer_AgeGroup" caption="AgeGroup" style="Slicer Style 1" rowHeight="253511"/>
  <slicer name="Location 1" xr10:uid="{0F9AF5FF-854B-4612-B7D9-F10C522422DC}" cache="Slicer_Location" caption="Location" style="Slicer Style 1" rowHeight="25351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D74727-B9D1-4B5A-B4C7-ED9EF71C83E9}" name="HerbalSurvey" displayName="HerbalSurvey" ref="A1:N61" headerRowDxfId="18" totalsRowDxfId="15" headerRowBorderDxfId="17" tableBorderDxfId="16">
  <tableColumns count="14">
    <tableColumn id="1" xr3:uid="{80CA1C2F-1AF8-4D92-A24B-7B9CC935D663}" name="RespondentID" dataDxfId="14"/>
    <tableColumn id="3" xr3:uid="{59F68AE0-486F-4542-9F5C-BC878E2374CF}" name="Gender" dataDxfId="13"/>
    <tableColumn id="4" xr3:uid="{0B66A9D7-8F4F-405E-A835-108FD7D54DE9}" name="AgeGroup" dataDxfId="12"/>
    <tableColumn id="5" xr3:uid="{FCCAE34C-55B2-49D2-8739-75D8B0E96A3B}" name="Location" dataDxfId="11"/>
    <tableColumn id="6" xr3:uid="{55EFA009-DF04-4744-96AC-CB5B5AE35923}" name="UsesHerbalRemedies" dataDxfId="10"/>
    <tableColumn id="7" xr3:uid="{389B950D-4879-4DF5-BCB6-4956538BC82F}" name="HerbsUsed" dataDxfId="9"/>
    <tableColumn id="8" xr3:uid="{129483F2-4AD7-4A1F-B2A5-6758639C0295}" name="UsageFrequency" dataDxfId="8"/>
    <tableColumn id="9" xr3:uid="{1276D5ED-E187-48BF-9CE2-6DE2764AA7D9}" name="ReasonForUse" dataDxfId="7"/>
    <tableColumn id="10" xr3:uid="{D127294B-4046-4E49-BA56-13AB32EF5DCF}" name="HerbSource" dataDxfId="6"/>
    <tableColumn id="11" xr3:uid="{750F219A-380D-4621-A76C-52AC91FDAC6E}" name="IsEffective" dataDxfId="5"/>
    <tableColumn id="12" xr3:uid="{50936CF2-5B79-4FE8-BC9F-326947576D14}" name="EffectivenessLevel" dataDxfId="4"/>
    <tableColumn id="13" xr3:uid="{C7A214ED-7BC8-4718-877F-58B09175EE7A}" name="HasSideEffects" dataDxfId="3"/>
    <tableColumn id="14" xr3:uid="{6966F62A-E8B1-45FD-B4EB-026F97894B60}" name="CombineWithHospitalMedicine" dataDxfId="2"/>
    <tableColumn id="15" xr3:uid="{F84AAC23-3B79-4938-97BE-A6589F9CE494}" name="RecommendToOthers" dataDxfId="1"/>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3477E61-BAAB-45C9-968B-901EDF62AD61}">
  <we:reference id="wa200008463" version="2.0.0.0" store="en-US" storeType="OMEX"/>
  <we:alternateReferences>
    <we:reference id="wa200008463" version="2.0.0.0" store="wa200008463"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_xldudf_SHEETXAI_SAI</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085A-0E3A-485D-9BAB-06FA1FC27667}">
  <dimension ref="A1:A28"/>
  <sheetViews>
    <sheetView workbookViewId="0">
      <selection activeCell="C10" sqref="C10"/>
    </sheetView>
  </sheetViews>
  <sheetFormatPr defaultRowHeight="14.4" x14ac:dyDescent="0.3"/>
  <cols>
    <col min="1" max="1" width="52.19921875" bestFit="1" customWidth="1"/>
  </cols>
  <sheetData>
    <row r="1" spans="1:1" x14ac:dyDescent="0.3">
      <c r="A1" s="5" t="s">
        <v>236</v>
      </c>
    </row>
    <row r="2" spans="1:1" x14ac:dyDescent="0.3">
      <c r="A2" s="1"/>
    </row>
    <row r="3" spans="1:1" x14ac:dyDescent="0.3">
      <c r="A3" s="1" t="s">
        <v>237</v>
      </c>
    </row>
    <row r="4" spans="1:1" x14ac:dyDescent="0.3">
      <c r="A4" s="1"/>
    </row>
    <row r="5" spans="1:1" x14ac:dyDescent="0.3">
      <c r="A5" s="1" t="s">
        <v>238</v>
      </c>
    </row>
    <row r="6" spans="1:1" x14ac:dyDescent="0.3">
      <c r="A6" s="1"/>
    </row>
    <row r="7" spans="1:1" x14ac:dyDescent="0.3">
      <c r="A7" s="1" t="s">
        <v>239</v>
      </c>
    </row>
    <row r="8" spans="1:1" x14ac:dyDescent="0.3">
      <c r="A8" s="1" t="s">
        <v>240</v>
      </c>
    </row>
    <row r="9" spans="1:1" x14ac:dyDescent="0.3">
      <c r="A9" s="1"/>
    </row>
    <row r="10" spans="1:1" x14ac:dyDescent="0.3">
      <c r="A10" s="1" t="s">
        <v>241</v>
      </c>
    </row>
    <row r="11" spans="1:1" x14ac:dyDescent="0.3">
      <c r="A11" s="1"/>
    </row>
    <row r="12" spans="1:1" x14ac:dyDescent="0.3">
      <c r="A12" s="1" t="s">
        <v>242</v>
      </c>
    </row>
    <row r="13" spans="1:1" x14ac:dyDescent="0.3">
      <c r="A13" s="1" t="s">
        <v>243</v>
      </c>
    </row>
    <row r="14" spans="1:1" x14ac:dyDescent="0.3">
      <c r="A14" s="1" t="s">
        <v>244</v>
      </c>
    </row>
    <row r="15" spans="1:1" x14ac:dyDescent="0.3">
      <c r="A15" s="1" t="s">
        <v>245</v>
      </c>
    </row>
    <row r="16" spans="1:1" x14ac:dyDescent="0.3">
      <c r="A16" s="1" t="s">
        <v>246</v>
      </c>
    </row>
    <row r="17" spans="1:1" x14ac:dyDescent="0.3">
      <c r="A17" s="1" t="s">
        <v>247</v>
      </c>
    </row>
    <row r="18" spans="1:1" x14ac:dyDescent="0.3">
      <c r="A18" s="1" t="s">
        <v>248</v>
      </c>
    </row>
    <row r="19" spans="1:1" x14ac:dyDescent="0.3">
      <c r="A19" s="1"/>
    </row>
    <row r="20" spans="1:1" x14ac:dyDescent="0.3">
      <c r="A20" s="1" t="s">
        <v>249</v>
      </c>
    </row>
    <row r="21" spans="1:1" x14ac:dyDescent="0.3">
      <c r="A21" s="1"/>
    </row>
    <row r="22" spans="1:1" x14ac:dyDescent="0.3">
      <c r="A22" s="1" t="s">
        <v>250</v>
      </c>
    </row>
    <row r="23" spans="1:1" x14ac:dyDescent="0.3">
      <c r="A23" s="1"/>
    </row>
    <row r="24" spans="1:1" x14ac:dyDescent="0.3">
      <c r="A24" s="1" t="s">
        <v>251</v>
      </c>
    </row>
    <row r="25" spans="1:1" x14ac:dyDescent="0.3">
      <c r="A25" s="1"/>
    </row>
    <row r="26" spans="1:1" x14ac:dyDescent="0.3">
      <c r="A26" s="1" t="s">
        <v>252</v>
      </c>
    </row>
    <row r="27" spans="1:1" x14ac:dyDescent="0.3">
      <c r="A27" s="1"/>
    </row>
    <row r="28" spans="1:1" x14ac:dyDescent="0.3">
      <c r="A28" s="1" t="s">
        <v>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56B4-980F-407D-978A-6FDF430794E5}">
  <dimension ref="A1:O61"/>
  <sheetViews>
    <sheetView workbookViewId="0">
      <selection sqref="A1:O61"/>
    </sheetView>
  </sheetViews>
  <sheetFormatPr defaultRowHeight="14.4" x14ac:dyDescent="0.3"/>
  <sheetData>
    <row r="1" spans="1:15" x14ac:dyDescent="0.3">
      <c r="A1" t="s">
        <v>54</v>
      </c>
      <c r="B1" t="s">
        <v>55</v>
      </c>
      <c r="C1" t="s">
        <v>0</v>
      </c>
      <c r="D1" t="s">
        <v>1</v>
      </c>
      <c r="E1" t="s">
        <v>2</v>
      </c>
      <c r="F1" t="s">
        <v>3</v>
      </c>
      <c r="G1" t="s">
        <v>4</v>
      </c>
      <c r="H1" t="s">
        <v>5</v>
      </c>
      <c r="I1" t="s">
        <v>6</v>
      </c>
      <c r="J1" t="s">
        <v>7</v>
      </c>
      <c r="K1" t="s">
        <v>8</v>
      </c>
      <c r="L1" t="s">
        <v>9</v>
      </c>
      <c r="M1" t="s">
        <v>10</v>
      </c>
      <c r="N1" t="s">
        <v>11</v>
      </c>
      <c r="O1" t="s">
        <v>12</v>
      </c>
    </row>
    <row r="2" spans="1:15" x14ac:dyDescent="0.3">
      <c r="A2" t="s">
        <v>56</v>
      </c>
      <c r="B2" t="s">
        <v>57</v>
      </c>
      <c r="C2" t="s">
        <v>13</v>
      </c>
      <c r="D2" t="s">
        <v>14</v>
      </c>
      <c r="E2" t="s">
        <v>15</v>
      </c>
      <c r="F2" t="s">
        <v>16</v>
      </c>
      <c r="G2" t="s">
        <v>58</v>
      </c>
      <c r="H2" t="s">
        <v>18</v>
      </c>
      <c r="I2" t="s">
        <v>59</v>
      </c>
      <c r="J2" t="s">
        <v>20</v>
      </c>
      <c r="K2" t="s">
        <v>16</v>
      </c>
      <c r="L2" t="s">
        <v>21</v>
      </c>
      <c r="M2" t="s">
        <v>16</v>
      </c>
      <c r="N2" t="s">
        <v>22</v>
      </c>
      <c r="O2" t="s">
        <v>16</v>
      </c>
    </row>
    <row r="3" spans="1:15" x14ac:dyDescent="0.3">
      <c r="A3" t="s">
        <v>60</v>
      </c>
      <c r="B3" t="s">
        <v>61</v>
      </c>
      <c r="C3" t="s">
        <v>13</v>
      </c>
      <c r="D3" t="s">
        <v>23</v>
      </c>
      <c r="E3" t="s">
        <v>15</v>
      </c>
      <c r="F3" t="s">
        <v>16</v>
      </c>
      <c r="G3" t="s">
        <v>62</v>
      </c>
      <c r="H3" t="s">
        <v>25</v>
      </c>
      <c r="I3" t="s">
        <v>63</v>
      </c>
      <c r="J3" t="s">
        <v>26</v>
      </c>
      <c r="K3" t="s">
        <v>16</v>
      </c>
      <c r="L3" t="s">
        <v>27</v>
      </c>
      <c r="M3" t="s">
        <v>22</v>
      </c>
      <c r="N3" t="s">
        <v>22</v>
      </c>
      <c r="O3" t="s">
        <v>16</v>
      </c>
    </row>
    <row r="4" spans="1:15" x14ac:dyDescent="0.3">
      <c r="A4" t="s">
        <v>64</v>
      </c>
      <c r="B4" t="s">
        <v>65</v>
      </c>
      <c r="C4" t="s">
        <v>13</v>
      </c>
      <c r="D4" t="s">
        <v>14</v>
      </c>
      <c r="E4" t="s">
        <v>15</v>
      </c>
      <c r="F4" t="s">
        <v>16</v>
      </c>
      <c r="G4" t="s">
        <v>28</v>
      </c>
      <c r="H4" t="s">
        <v>29</v>
      </c>
      <c r="I4" t="s">
        <v>30</v>
      </c>
      <c r="J4" t="s">
        <v>20</v>
      </c>
      <c r="K4" t="s">
        <v>22</v>
      </c>
      <c r="L4" t="s">
        <v>31</v>
      </c>
      <c r="M4" t="s">
        <v>16</v>
      </c>
      <c r="N4" t="s">
        <v>16</v>
      </c>
      <c r="O4" t="s">
        <v>16</v>
      </c>
    </row>
    <row r="5" spans="1:15" x14ac:dyDescent="0.3">
      <c r="A5" t="s">
        <v>66</v>
      </c>
      <c r="B5" t="s">
        <v>67</v>
      </c>
      <c r="C5" t="s">
        <v>13</v>
      </c>
      <c r="D5" t="s">
        <v>14</v>
      </c>
      <c r="E5" t="s">
        <v>15</v>
      </c>
      <c r="F5" t="s">
        <v>16</v>
      </c>
      <c r="G5" t="s">
        <v>32</v>
      </c>
      <c r="H5" t="s">
        <v>25</v>
      </c>
      <c r="I5" t="s">
        <v>30</v>
      </c>
      <c r="J5" t="s">
        <v>33</v>
      </c>
      <c r="K5" t="s">
        <v>16</v>
      </c>
      <c r="L5" t="s">
        <v>21</v>
      </c>
      <c r="M5" t="s">
        <v>22</v>
      </c>
      <c r="N5" t="s">
        <v>22</v>
      </c>
      <c r="O5" t="s">
        <v>16</v>
      </c>
    </row>
    <row r="6" spans="1:15" x14ac:dyDescent="0.3">
      <c r="A6" t="s">
        <v>68</v>
      </c>
      <c r="B6" t="s">
        <v>69</v>
      </c>
      <c r="C6" t="s">
        <v>13</v>
      </c>
      <c r="D6" t="s">
        <v>14</v>
      </c>
      <c r="E6" t="s">
        <v>34</v>
      </c>
      <c r="F6" t="s">
        <v>16</v>
      </c>
      <c r="G6" t="s">
        <v>32</v>
      </c>
      <c r="H6" t="s">
        <v>25</v>
      </c>
      <c r="I6" t="s">
        <v>35</v>
      </c>
      <c r="J6" t="s">
        <v>33</v>
      </c>
      <c r="K6" t="s">
        <v>16</v>
      </c>
      <c r="L6" t="s">
        <v>27</v>
      </c>
      <c r="M6" t="s">
        <v>22</v>
      </c>
      <c r="N6" t="s">
        <v>16</v>
      </c>
      <c r="O6" t="s">
        <v>16</v>
      </c>
    </row>
    <row r="7" spans="1:15" x14ac:dyDescent="0.3">
      <c r="A7" t="s">
        <v>70</v>
      </c>
      <c r="B7" t="s">
        <v>71</v>
      </c>
      <c r="C7" t="s">
        <v>13</v>
      </c>
      <c r="D7" t="s">
        <v>14</v>
      </c>
      <c r="E7" t="s">
        <v>34</v>
      </c>
      <c r="F7" t="s">
        <v>16</v>
      </c>
      <c r="G7" t="s">
        <v>36</v>
      </c>
      <c r="H7" t="s">
        <v>37</v>
      </c>
      <c r="I7" t="s">
        <v>38</v>
      </c>
      <c r="J7" t="s">
        <v>33</v>
      </c>
      <c r="K7" t="s">
        <v>22</v>
      </c>
      <c r="L7" t="s">
        <v>21</v>
      </c>
      <c r="M7" t="s">
        <v>16</v>
      </c>
      <c r="N7" t="s">
        <v>22</v>
      </c>
      <c r="O7" t="s">
        <v>16</v>
      </c>
    </row>
    <row r="8" spans="1:15" x14ac:dyDescent="0.3">
      <c r="A8" t="s">
        <v>72</v>
      </c>
      <c r="B8" t="s">
        <v>73</v>
      </c>
      <c r="C8" t="s">
        <v>13</v>
      </c>
      <c r="D8" t="s">
        <v>14</v>
      </c>
      <c r="E8" t="s">
        <v>15</v>
      </c>
      <c r="F8" t="s">
        <v>16</v>
      </c>
      <c r="G8" t="s">
        <v>74</v>
      </c>
      <c r="H8" t="s">
        <v>18</v>
      </c>
      <c r="I8" t="s">
        <v>75</v>
      </c>
      <c r="J8" t="s">
        <v>33</v>
      </c>
      <c r="K8" t="s">
        <v>16</v>
      </c>
      <c r="L8" t="s">
        <v>21</v>
      </c>
      <c r="M8" t="s">
        <v>16</v>
      </c>
      <c r="N8" t="s">
        <v>16</v>
      </c>
      <c r="O8" t="s">
        <v>16</v>
      </c>
    </row>
    <row r="9" spans="1:15" x14ac:dyDescent="0.3">
      <c r="A9" t="s">
        <v>76</v>
      </c>
      <c r="B9" t="s">
        <v>71</v>
      </c>
      <c r="C9" t="s">
        <v>13</v>
      </c>
      <c r="D9" t="s">
        <v>14</v>
      </c>
      <c r="E9" t="s">
        <v>34</v>
      </c>
      <c r="F9" t="s">
        <v>16</v>
      </c>
      <c r="G9" t="s">
        <v>58</v>
      </c>
      <c r="H9" t="s">
        <v>37</v>
      </c>
      <c r="I9" t="s">
        <v>30</v>
      </c>
      <c r="J9" t="s">
        <v>33</v>
      </c>
      <c r="K9" t="s">
        <v>22</v>
      </c>
      <c r="L9" t="s">
        <v>21</v>
      </c>
      <c r="M9" t="s">
        <v>16</v>
      </c>
      <c r="N9" t="s">
        <v>22</v>
      </c>
      <c r="O9" t="s">
        <v>16</v>
      </c>
    </row>
    <row r="10" spans="1:15" x14ac:dyDescent="0.3">
      <c r="A10" t="s">
        <v>77</v>
      </c>
      <c r="C10" t="s">
        <v>13</v>
      </c>
      <c r="D10" t="s">
        <v>14</v>
      </c>
      <c r="E10" t="s">
        <v>15</v>
      </c>
      <c r="F10" t="s">
        <v>16</v>
      </c>
      <c r="G10" t="s">
        <v>41</v>
      </c>
      <c r="H10" t="s">
        <v>25</v>
      </c>
      <c r="I10" t="s">
        <v>38</v>
      </c>
      <c r="J10" t="s">
        <v>33</v>
      </c>
      <c r="K10" t="s">
        <v>16</v>
      </c>
      <c r="L10" t="s">
        <v>21</v>
      </c>
      <c r="M10" t="s">
        <v>22</v>
      </c>
      <c r="N10" t="s">
        <v>16</v>
      </c>
      <c r="O10" t="s">
        <v>16</v>
      </c>
    </row>
    <row r="11" spans="1:15" x14ac:dyDescent="0.3">
      <c r="A11" t="s">
        <v>78</v>
      </c>
      <c r="B11" t="s">
        <v>79</v>
      </c>
      <c r="C11" t="s">
        <v>42</v>
      </c>
      <c r="E11" t="s">
        <v>15</v>
      </c>
      <c r="F11" t="s">
        <v>16</v>
      </c>
      <c r="G11" t="s">
        <v>41</v>
      </c>
      <c r="H11" t="s">
        <v>25</v>
      </c>
      <c r="I11" t="s">
        <v>80</v>
      </c>
      <c r="J11" t="s">
        <v>26</v>
      </c>
      <c r="K11" t="s">
        <v>16</v>
      </c>
      <c r="L11" t="s">
        <v>21</v>
      </c>
      <c r="M11" t="s">
        <v>16</v>
      </c>
      <c r="N11" t="s">
        <v>22</v>
      </c>
      <c r="O11" t="s">
        <v>16</v>
      </c>
    </row>
    <row r="12" spans="1:15" x14ac:dyDescent="0.3">
      <c r="A12" t="s">
        <v>81</v>
      </c>
      <c r="B12" t="s">
        <v>82</v>
      </c>
      <c r="C12" t="s">
        <v>13</v>
      </c>
      <c r="D12" t="s">
        <v>23</v>
      </c>
      <c r="E12" t="s">
        <v>34</v>
      </c>
      <c r="F12" t="s">
        <v>16</v>
      </c>
      <c r="G12" t="s">
        <v>32</v>
      </c>
      <c r="H12" t="s">
        <v>18</v>
      </c>
      <c r="I12" t="s">
        <v>35</v>
      </c>
      <c r="J12" t="s">
        <v>28</v>
      </c>
      <c r="K12" t="s">
        <v>16</v>
      </c>
      <c r="L12" t="s">
        <v>21</v>
      </c>
      <c r="M12" t="s">
        <v>22</v>
      </c>
      <c r="N12" t="s">
        <v>22</v>
      </c>
      <c r="O12" t="s">
        <v>16</v>
      </c>
    </row>
    <row r="13" spans="1:15" x14ac:dyDescent="0.3">
      <c r="A13" t="s">
        <v>83</v>
      </c>
      <c r="B13" t="s">
        <v>84</v>
      </c>
      <c r="C13" t="s">
        <v>13</v>
      </c>
      <c r="D13" t="s">
        <v>23</v>
      </c>
      <c r="E13" t="s">
        <v>34</v>
      </c>
      <c r="F13" t="s">
        <v>16</v>
      </c>
      <c r="G13" t="s">
        <v>58</v>
      </c>
      <c r="H13" t="s">
        <v>18</v>
      </c>
      <c r="I13" t="s">
        <v>63</v>
      </c>
      <c r="J13" t="s">
        <v>20</v>
      </c>
      <c r="K13" t="s">
        <v>16</v>
      </c>
      <c r="L13" t="s">
        <v>27</v>
      </c>
      <c r="M13" t="s">
        <v>16</v>
      </c>
      <c r="N13" t="s">
        <v>16</v>
      </c>
    </row>
    <row r="14" spans="1:15" x14ac:dyDescent="0.3">
      <c r="A14" t="s">
        <v>85</v>
      </c>
      <c r="B14" t="s">
        <v>86</v>
      </c>
      <c r="C14" t="s">
        <v>13</v>
      </c>
      <c r="D14" t="s">
        <v>23</v>
      </c>
      <c r="E14" t="s">
        <v>34</v>
      </c>
      <c r="F14" t="s">
        <v>16</v>
      </c>
      <c r="G14" t="s">
        <v>32</v>
      </c>
      <c r="H14" t="s">
        <v>25</v>
      </c>
      <c r="I14" t="s">
        <v>35</v>
      </c>
      <c r="J14" t="s">
        <v>20</v>
      </c>
      <c r="K14" t="s">
        <v>16</v>
      </c>
      <c r="L14" t="s">
        <v>27</v>
      </c>
      <c r="M14" t="s">
        <v>22</v>
      </c>
      <c r="N14" t="s">
        <v>16</v>
      </c>
      <c r="O14" t="s">
        <v>16</v>
      </c>
    </row>
    <row r="15" spans="1:15" x14ac:dyDescent="0.3">
      <c r="A15" t="s">
        <v>87</v>
      </c>
      <c r="B15" t="s">
        <v>88</v>
      </c>
      <c r="C15" t="s">
        <v>13</v>
      </c>
      <c r="D15" t="s">
        <v>23</v>
      </c>
      <c r="E15" t="s">
        <v>15</v>
      </c>
      <c r="F15" t="s">
        <v>16</v>
      </c>
      <c r="G15" t="s">
        <v>32</v>
      </c>
      <c r="H15" t="s">
        <v>18</v>
      </c>
      <c r="I15" t="s">
        <v>89</v>
      </c>
      <c r="J15" t="s">
        <v>33</v>
      </c>
      <c r="K15" t="s">
        <v>16</v>
      </c>
      <c r="L15" t="s">
        <v>21</v>
      </c>
      <c r="M15" t="s">
        <v>16</v>
      </c>
      <c r="N15" t="s">
        <v>16</v>
      </c>
      <c r="O15" t="s">
        <v>16</v>
      </c>
    </row>
    <row r="16" spans="1:15" x14ac:dyDescent="0.3">
      <c r="A16" t="s">
        <v>90</v>
      </c>
      <c r="B16" t="s">
        <v>91</v>
      </c>
      <c r="C16" t="s">
        <v>13</v>
      </c>
      <c r="D16" t="s">
        <v>14</v>
      </c>
      <c r="E16" t="s">
        <v>34</v>
      </c>
      <c r="F16" t="s">
        <v>22</v>
      </c>
      <c r="G16" t="s">
        <v>28</v>
      </c>
      <c r="H16" t="s">
        <v>37</v>
      </c>
      <c r="I16" t="s">
        <v>45</v>
      </c>
      <c r="J16" t="s">
        <v>26</v>
      </c>
      <c r="K16" t="s">
        <v>16</v>
      </c>
      <c r="L16" t="s">
        <v>27</v>
      </c>
      <c r="M16" t="s">
        <v>22</v>
      </c>
      <c r="N16" t="s">
        <v>22</v>
      </c>
      <c r="O16" t="s">
        <v>16</v>
      </c>
    </row>
    <row r="17" spans="1:15" x14ac:dyDescent="0.3">
      <c r="A17" t="s">
        <v>92</v>
      </c>
      <c r="B17" t="s">
        <v>93</v>
      </c>
      <c r="C17" t="s">
        <v>13</v>
      </c>
      <c r="D17" t="s">
        <v>14</v>
      </c>
      <c r="E17" t="s">
        <v>34</v>
      </c>
      <c r="F17" t="s">
        <v>22</v>
      </c>
      <c r="M17" t="s">
        <v>16</v>
      </c>
      <c r="N17" t="s">
        <v>22</v>
      </c>
      <c r="O17" t="s">
        <v>16</v>
      </c>
    </row>
    <row r="18" spans="1:15" x14ac:dyDescent="0.3">
      <c r="A18" t="s">
        <v>94</v>
      </c>
      <c r="C18" t="s">
        <v>13</v>
      </c>
      <c r="D18" t="s">
        <v>46</v>
      </c>
      <c r="E18" t="s">
        <v>15</v>
      </c>
      <c r="F18" t="s">
        <v>16</v>
      </c>
      <c r="G18" t="s">
        <v>28</v>
      </c>
      <c r="H18" t="s">
        <v>18</v>
      </c>
      <c r="I18" t="s">
        <v>35</v>
      </c>
      <c r="J18" t="s">
        <v>20</v>
      </c>
      <c r="K18" t="s">
        <v>16</v>
      </c>
      <c r="L18" t="s">
        <v>21</v>
      </c>
      <c r="M18" t="s">
        <v>16</v>
      </c>
      <c r="N18" t="s">
        <v>22</v>
      </c>
      <c r="O18" t="s">
        <v>16</v>
      </c>
    </row>
    <row r="19" spans="1:15" x14ac:dyDescent="0.3">
      <c r="A19" t="s">
        <v>95</v>
      </c>
      <c r="B19" t="s">
        <v>96</v>
      </c>
      <c r="C19" t="s">
        <v>13</v>
      </c>
      <c r="D19" t="s">
        <v>14</v>
      </c>
      <c r="E19" t="s">
        <v>34</v>
      </c>
      <c r="F19" t="s">
        <v>22</v>
      </c>
    </row>
    <row r="20" spans="1:15" x14ac:dyDescent="0.3">
      <c r="A20" t="s">
        <v>97</v>
      </c>
      <c r="B20" t="s">
        <v>98</v>
      </c>
      <c r="C20" t="s">
        <v>13</v>
      </c>
      <c r="D20" t="s">
        <v>23</v>
      </c>
      <c r="E20" t="s">
        <v>15</v>
      </c>
      <c r="F20" t="s">
        <v>16</v>
      </c>
      <c r="G20" t="s">
        <v>99</v>
      </c>
      <c r="H20" t="s">
        <v>18</v>
      </c>
      <c r="I20" t="s">
        <v>100</v>
      </c>
      <c r="J20" t="s">
        <v>33</v>
      </c>
      <c r="K20" t="s">
        <v>16</v>
      </c>
      <c r="L20" t="s">
        <v>27</v>
      </c>
      <c r="M20" t="s">
        <v>16</v>
      </c>
      <c r="N20" t="s">
        <v>16</v>
      </c>
      <c r="O20" t="s">
        <v>16</v>
      </c>
    </row>
    <row r="21" spans="1:15" x14ac:dyDescent="0.3">
      <c r="A21" t="s">
        <v>101</v>
      </c>
      <c r="B21" t="s">
        <v>102</v>
      </c>
      <c r="C21" t="s">
        <v>13</v>
      </c>
      <c r="D21" t="s">
        <v>23</v>
      </c>
      <c r="E21" t="s">
        <v>34</v>
      </c>
      <c r="F21" t="s">
        <v>16</v>
      </c>
      <c r="G21" t="s">
        <v>32</v>
      </c>
      <c r="H21" t="s">
        <v>37</v>
      </c>
      <c r="I21" t="s">
        <v>35</v>
      </c>
      <c r="J21" t="s">
        <v>28</v>
      </c>
      <c r="K21" t="s">
        <v>16</v>
      </c>
      <c r="L21" t="s">
        <v>21</v>
      </c>
      <c r="M21" t="s">
        <v>16</v>
      </c>
      <c r="N21" t="s">
        <v>16</v>
      </c>
      <c r="O21" t="s">
        <v>16</v>
      </c>
    </row>
    <row r="22" spans="1:15" x14ac:dyDescent="0.3">
      <c r="A22" t="s">
        <v>103</v>
      </c>
      <c r="B22" t="s">
        <v>104</v>
      </c>
      <c r="C22" t="s">
        <v>13</v>
      </c>
      <c r="D22" t="s">
        <v>23</v>
      </c>
      <c r="E22" t="s">
        <v>15</v>
      </c>
      <c r="F22" t="s">
        <v>16</v>
      </c>
      <c r="G22" t="s">
        <v>32</v>
      </c>
      <c r="H22" t="s">
        <v>25</v>
      </c>
      <c r="I22" t="s">
        <v>35</v>
      </c>
      <c r="J22" t="s">
        <v>33</v>
      </c>
      <c r="K22" t="s">
        <v>16</v>
      </c>
      <c r="L22" t="s">
        <v>27</v>
      </c>
      <c r="M22" t="s">
        <v>16</v>
      </c>
      <c r="N22" t="s">
        <v>22</v>
      </c>
      <c r="O22" t="s">
        <v>16</v>
      </c>
    </row>
    <row r="23" spans="1:15" x14ac:dyDescent="0.3">
      <c r="A23" t="s">
        <v>105</v>
      </c>
      <c r="B23" t="s">
        <v>106</v>
      </c>
      <c r="C23" t="s">
        <v>13</v>
      </c>
      <c r="D23" t="s">
        <v>14</v>
      </c>
      <c r="E23" t="s">
        <v>15</v>
      </c>
      <c r="F23" t="s">
        <v>16</v>
      </c>
      <c r="H23" t="s">
        <v>37</v>
      </c>
      <c r="I23" t="s">
        <v>45</v>
      </c>
      <c r="J23" t="s">
        <v>26</v>
      </c>
      <c r="K23" t="s">
        <v>16</v>
      </c>
      <c r="L23" t="s">
        <v>21</v>
      </c>
      <c r="M23" t="s">
        <v>16</v>
      </c>
      <c r="N23" t="s">
        <v>16</v>
      </c>
      <c r="O23" t="s">
        <v>16</v>
      </c>
    </row>
    <row r="24" spans="1:15" x14ac:dyDescent="0.3">
      <c r="A24" t="s">
        <v>107</v>
      </c>
      <c r="C24" t="s">
        <v>13</v>
      </c>
      <c r="D24" t="s">
        <v>23</v>
      </c>
      <c r="E24" t="s">
        <v>34</v>
      </c>
      <c r="F24" t="s">
        <v>16</v>
      </c>
      <c r="G24" t="s">
        <v>41</v>
      </c>
      <c r="H24" t="s">
        <v>29</v>
      </c>
      <c r="I24" t="s">
        <v>38</v>
      </c>
      <c r="J24" t="s">
        <v>26</v>
      </c>
      <c r="K24" t="s">
        <v>48</v>
      </c>
      <c r="L24" t="s">
        <v>27</v>
      </c>
      <c r="M24" t="s">
        <v>22</v>
      </c>
      <c r="N24" t="s">
        <v>16</v>
      </c>
      <c r="O24" t="s">
        <v>16</v>
      </c>
    </row>
    <row r="25" spans="1:15" x14ac:dyDescent="0.3">
      <c r="A25" t="s">
        <v>108</v>
      </c>
      <c r="B25" t="s">
        <v>109</v>
      </c>
      <c r="C25" t="s">
        <v>13</v>
      </c>
      <c r="D25" t="s">
        <v>14</v>
      </c>
      <c r="E25" t="s">
        <v>34</v>
      </c>
      <c r="F25" t="s">
        <v>16</v>
      </c>
      <c r="G25" t="s">
        <v>32</v>
      </c>
      <c r="H25" t="s">
        <v>18</v>
      </c>
      <c r="I25" t="s">
        <v>110</v>
      </c>
      <c r="J25" t="s">
        <v>26</v>
      </c>
      <c r="K25" t="s">
        <v>16</v>
      </c>
      <c r="L25" t="s">
        <v>27</v>
      </c>
      <c r="M25" t="s">
        <v>16</v>
      </c>
      <c r="N25" t="s">
        <v>16</v>
      </c>
      <c r="O25" t="s">
        <v>16</v>
      </c>
    </row>
    <row r="26" spans="1:15" x14ac:dyDescent="0.3">
      <c r="A26" t="s">
        <v>111</v>
      </c>
      <c r="B26" t="s">
        <v>112</v>
      </c>
      <c r="C26" t="s">
        <v>13</v>
      </c>
      <c r="D26" t="s">
        <v>23</v>
      </c>
      <c r="E26" t="s">
        <v>34</v>
      </c>
      <c r="F26" t="s">
        <v>16</v>
      </c>
      <c r="G26" t="s">
        <v>41</v>
      </c>
      <c r="H26" t="s">
        <v>29</v>
      </c>
      <c r="I26" t="s">
        <v>45</v>
      </c>
      <c r="J26" t="s">
        <v>26</v>
      </c>
      <c r="K26" t="s">
        <v>16</v>
      </c>
      <c r="L26" t="s">
        <v>27</v>
      </c>
      <c r="M26" t="s">
        <v>16</v>
      </c>
      <c r="N26" t="s">
        <v>22</v>
      </c>
      <c r="O26" t="s">
        <v>22</v>
      </c>
    </row>
    <row r="27" spans="1:15" x14ac:dyDescent="0.3">
      <c r="A27" t="s">
        <v>113</v>
      </c>
      <c r="B27" t="s">
        <v>114</v>
      </c>
      <c r="C27" t="s">
        <v>13</v>
      </c>
      <c r="D27" t="s">
        <v>14</v>
      </c>
      <c r="E27" t="s">
        <v>34</v>
      </c>
      <c r="F27" t="s">
        <v>16</v>
      </c>
      <c r="G27" t="s">
        <v>74</v>
      </c>
      <c r="H27" t="s">
        <v>18</v>
      </c>
      <c r="I27" t="s">
        <v>38</v>
      </c>
      <c r="J27" t="s">
        <v>33</v>
      </c>
      <c r="K27" t="s">
        <v>16</v>
      </c>
      <c r="L27" t="s">
        <v>21</v>
      </c>
      <c r="M27" t="s">
        <v>16</v>
      </c>
      <c r="N27" t="s">
        <v>22</v>
      </c>
      <c r="O27" t="s">
        <v>16</v>
      </c>
    </row>
    <row r="28" spans="1:15" x14ac:dyDescent="0.3">
      <c r="A28" t="s">
        <v>115</v>
      </c>
      <c r="B28" t="s">
        <v>116</v>
      </c>
      <c r="C28" t="s">
        <v>13</v>
      </c>
      <c r="D28" t="s">
        <v>14</v>
      </c>
      <c r="E28" t="s">
        <v>34</v>
      </c>
      <c r="F28" t="s">
        <v>16</v>
      </c>
      <c r="G28" t="s">
        <v>41</v>
      </c>
      <c r="H28" t="s">
        <v>37</v>
      </c>
      <c r="I28" t="s">
        <v>30</v>
      </c>
      <c r="J28" t="s">
        <v>26</v>
      </c>
      <c r="K28" t="s">
        <v>16</v>
      </c>
      <c r="L28" t="s">
        <v>21</v>
      </c>
      <c r="M28" t="s">
        <v>22</v>
      </c>
      <c r="N28" t="s">
        <v>16</v>
      </c>
      <c r="O28" t="s">
        <v>16</v>
      </c>
    </row>
    <row r="29" spans="1:15" x14ac:dyDescent="0.3">
      <c r="A29" t="s">
        <v>117</v>
      </c>
      <c r="B29" t="s">
        <v>118</v>
      </c>
      <c r="C29" t="s">
        <v>13</v>
      </c>
      <c r="D29" t="s">
        <v>23</v>
      </c>
      <c r="E29" t="s">
        <v>34</v>
      </c>
      <c r="F29" t="s">
        <v>16</v>
      </c>
      <c r="G29" t="s">
        <v>58</v>
      </c>
      <c r="H29" t="s">
        <v>18</v>
      </c>
      <c r="I29" t="s">
        <v>38</v>
      </c>
      <c r="J29" t="s">
        <v>33</v>
      </c>
      <c r="K29" t="s">
        <v>16</v>
      </c>
      <c r="L29" t="s">
        <v>21</v>
      </c>
      <c r="M29" t="s">
        <v>22</v>
      </c>
      <c r="N29" t="s">
        <v>16</v>
      </c>
      <c r="O29" t="s">
        <v>16</v>
      </c>
    </row>
    <row r="30" spans="1:15" x14ac:dyDescent="0.3">
      <c r="A30" t="s">
        <v>119</v>
      </c>
      <c r="B30" t="s">
        <v>120</v>
      </c>
      <c r="C30" t="s">
        <v>13</v>
      </c>
      <c r="D30" t="s">
        <v>14</v>
      </c>
      <c r="E30" t="s">
        <v>15</v>
      </c>
      <c r="F30" t="s">
        <v>16</v>
      </c>
      <c r="G30" t="s">
        <v>62</v>
      </c>
      <c r="H30" t="s">
        <v>29</v>
      </c>
      <c r="I30" t="s">
        <v>121</v>
      </c>
      <c r="J30" t="s">
        <v>20</v>
      </c>
      <c r="K30" t="s">
        <v>16</v>
      </c>
      <c r="L30" t="s">
        <v>27</v>
      </c>
      <c r="M30" t="s">
        <v>16</v>
      </c>
      <c r="N30" t="s">
        <v>16</v>
      </c>
      <c r="O30" t="s">
        <v>16</v>
      </c>
    </row>
    <row r="31" spans="1:15" x14ac:dyDescent="0.3">
      <c r="A31" t="s">
        <v>122</v>
      </c>
      <c r="B31" t="s">
        <v>123</v>
      </c>
      <c r="C31" t="s">
        <v>13</v>
      </c>
      <c r="D31" t="s">
        <v>14</v>
      </c>
      <c r="E31" t="s">
        <v>34</v>
      </c>
      <c r="F31" t="s">
        <v>16</v>
      </c>
      <c r="G31" t="s">
        <v>32</v>
      </c>
      <c r="H31" t="s">
        <v>25</v>
      </c>
      <c r="I31" t="s">
        <v>35</v>
      </c>
      <c r="J31" t="s">
        <v>33</v>
      </c>
      <c r="K31" t="s">
        <v>16</v>
      </c>
      <c r="L31" t="s">
        <v>21</v>
      </c>
      <c r="M31" t="s">
        <v>16</v>
      </c>
      <c r="N31" t="s">
        <v>22</v>
      </c>
      <c r="O31" t="s">
        <v>16</v>
      </c>
    </row>
    <row r="32" spans="1:15" x14ac:dyDescent="0.3">
      <c r="A32" t="s">
        <v>124</v>
      </c>
      <c r="B32" t="s">
        <v>125</v>
      </c>
      <c r="C32" t="s">
        <v>13</v>
      </c>
      <c r="D32" t="s">
        <v>14</v>
      </c>
      <c r="E32" t="s">
        <v>34</v>
      </c>
      <c r="F32" t="s">
        <v>16</v>
      </c>
      <c r="G32" t="s">
        <v>32</v>
      </c>
      <c r="H32" t="s">
        <v>25</v>
      </c>
      <c r="I32" t="s">
        <v>35</v>
      </c>
      <c r="J32" t="s">
        <v>20</v>
      </c>
      <c r="K32" t="s">
        <v>16</v>
      </c>
      <c r="L32" t="s">
        <v>27</v>
      </c>
      <c r="M32" t="s">
        <v>22</v>
      </c>
      <c r="N32" t="s">
        <v>16</v>
      </c>
      <c r="O32" t="s">
        <v>16</v>
      </c>
    </row>
    <row r="33" spans="1:15" x14ac:dyDescent="0.3">
      <c r="A33" t="s">
        <v>126</v>
      </c>
      <c r="B33" t="s">
        <v>127</v>
      </c>
      <c r="C33" t="s">
        <v>13</v>
      </c>
      <c r="D33" t="s">
        <v>23</v>
      </c>
      <c r="E33" t="s">
        <v>15</v>
      </c>
      <c r="F33" t="s">
        <v>16</v>
      </c>
      <c r="G33" t="s">
        <v>32</v>
      </c>
      <c r="H33" t="s">
        <v>25</v>
      </c>
      <c r="I33" t="s">
        <v>38</v>
      </c>
      <c r="J33" t="s">
        <v>33</v>
      </c>
      <c r="K33" t="s">
        <v>16</v>
      </c>
      <c r="L33" t="s">
        <v>27</v>
      </c>
      <c r="M33" t="s">
        <v>22</v>
      </c>
      <c r="N33" t="s">
        <v>22</v>
      </c>
      <c r="O33" t="s">
        <v>16</v>
      </c>
    </row>
    <row r="34" spans="1:15" x14ac:dyDescent="0.3">
      <c r="A34" t="s">
        <v>128</v>
      </c>
      <c r="B34" t="s">
        <v>129</v>
      </c>
      <c r="C34" t="s">
        <v>13</v>
      </c>
      <c r="D34" t="s">
        <v>23</v>
      </c>
      <c r="E34" t="s">
        <v>15</v>
      </c>
      <c r="F34" t="s">
        <v>16</v>
      </c>
      <c r="G34" t="s">
        <v>41</v>
      </c>
      <c r="H34" t="s">
        <v>37</v>
      </c>
      <c r="I34" t="s">
        <v>75</v>
      </c>
      <c r="J34" t="s">
        <v>26</v>
      </c>
      <c r="K34" t="s">
        <v>16</v>
      </c>
      <c r="L34" t="s">
        <v>21</v>
      </c>
      <c r="M34" t="s">
        <v>16</v>
      </c>
      <c r="N34" t="s">
        <v>16</v>
      </c>
      <c r="O34" t="s">
        <v>16</v>
      </c>
    </row>
    <row r="35" spans="1:15" x14ac:dyDescent="0.3">
      <c r="A35" t="s">
        <v>130</v>
      </c>
      <c r="B35" t="s">
        <v>131</v>
      </c>
      <c r="C35" t="s">
        <v>13</v>
      </c>
      <c r="D35" t="s">
        <v>23</v>
      </c>
      <c r="E35" t="s">
        <v>15</v>
      </c>
      <c r="F35" t="s">
        <v>16</v>
      </c>
      <c r="G35" t="s">
        <v>41</v>
      </c>
      <c r="H35" t="s">
        <v>25</v>
      </c>
      <c r="I35" t="s">
        <v>35</v>
      </c>
      <c r="J35" t="s">
        <v>33</v>
      </c>
      <c r="K35" t="s">
        <v>16</v>
      </c>
      <c r="L35" t="s">
        <v>21</v>
      </c>
      <c r="M35" t="s">
        <v>22</v>
      </c>
      <c r="N35" t="s">
        <v>16</v>
      </c>
      <c r="O35" t="s">
        <v>16</v>
      </c>
    </row>
    <row r="36" spans="1:15" x14ac:dyDescent="0.3">
      <c r="A36" t="s">
        <v>132</v>
      </c>
      <c r="B36" t="s">
        <v>133</v>
      </c>
      <c r="C36" t="s">
        <v>13</v>
      </c>
      <c r="D36" t="s">
        <v>14</v>
      </c>
      <c r="E36" t="s">
        <v>15</v>
      </c>
      <c r="F36" t="s">
        <v>16</v>
      </c>
      <c r="G36" t="s">
        <v>28</v>
      </c>
      <c r="H36" t="s">
        <v>18</v>
      </c>
      <c r="I36" t="s">
        <v>38</v>
      </c>
      <c r="J36" t="s">
        <v>33</v>
      </c>
      <c r="K36" t="s">
        <v>16</v>
      </c>
      <c r="L36" t="s">
        <v>21</v>
      </c>
      <c r="M36" t="s">
        <v>22</v>
      </c>
      <c r="N36" t="s">
        <v>16</v>
      </c>
      <c r="O36" t="s">
        <v>22</v>
      </c>
    </row>
    <row r="37" spans="1:15" x14ac:dyDescent="0.3">
      <c r="A37" t="s">
        <v>134</v>
      </c>
      <c r="B37" t="s">
        <v>135</v>
      </c>
      <c r="C37" t="s">
        <v>13</v>
      </c>
      <c r="D37" t="s">
        <v>23</v>
      </c>
      <c r="E37" t="s">
        <v>15</v>
      </c>
      <c r="F37" t="s">
        <v>16</v>
      </c>
      <c r="G37" t="s">
        <v>28</v>
      </c>
      <c r="H37" t="s">
        <v>18</v>
      </c>
      <c r="I37" t="s">
        <v>38</v>
      </c>
      <c r="J37" t="s">
        <v>33</v>
      </c>
      <c r="K37" t="s">
        <v>16</v>
      </c>
      <c r="L37" t="s">
        <v>21</v>
      </c>
      <c r="M37" t="s">
        <v>22</v>
      </c>
      <c r="N37" t="s">
        <v>16</v>
      </c>
      <c r="O37" t="s">
        <v>22</v>
      </c>
    </row>
    <row r="38" spans="1:15" x14ac:dyDescent="0.3">
      <c r="A38" t="s">
        <v>136</v>
      </c>
      <c r="B38" t="s">
        <v>137</v>
      </c>
      <c r="C38" t="s">
        <v>13</v>
      </c>
      <c r="D38" t="s">
        <v>14</v>
      </c>
      <c r="E38" t="s">
        <v>15</v>
      </c>
      <c r="F38" t="s">
        <v>16</v>
      </c>
      <c r="G38" t="s">
        <v>28</v>
      </c>
      <c r="H38" t="s">
        <v>18</v>
      </c>
      <c r="I38" t="s">
        <v>38</v>
      </c>
      <c r="J38" t="s">
        <v>33</v>
      </c>
      <c r="K38" t="s">
        <v>16</v>
      </c>
      <c r="L38" t="s">
        <v>21</v>
      </c>
      <c r="M38" t="s">
        <v>22</v>
      </c>
      <c r="N38" t="s">
        <v>22</v>
      </c>
      <c r="O38" t="s">
        <v>22</v>
      </c>
    </row>
    <row r="39" spans="1:15" x14ac:dyDescent="0.3">
      <c r="A39" t="s">
        <v>138</v>
      </c>
      <c r="B39" t="s">
        <v>139</v>
      </c>
      <c r="C39" t="s">
        <v>13</v>
      </c>
      <c r="D39" t="s">
        <v>46</v>
      </c>
      <c r="E39" t="s">
        <v>15</v>
      </c>
      <c r="F39" t="s">
        <v>16</v>
      </c>
      <c r="G39" t="s">
        <v>36</v>
      </c>
      <c r="H39" t="s">
        <v>25</v>
      </c>
      <c r="I39" t="s">
        <v>38</v>
      </c>
      <c r="J39" t="s">
        <v>33</v>
      </c>
      <c r="K39" t="s">
        <v>16</v>
      </c>
      <c r="L39" t="s">
        <v>21</v>
      </c>
      <c r="M39" t="s">
        <v>22</v>
      </c>
      <c r="N39" t="s">
        <v>22</v>
      </c>
      <c r="O39" t="s">
        <v>22</v>
      </c>
    </row>
    <row r="40" spans="1:15" x14ac:dyDescent="0.3">
      <c r="A40" t="s">
        <v>140</v>
      </c>
      <c r="B40" t="s">
        <v>141</v>
      </c>
      <c r="C40" t="s">
        <v>42</v>
      </c>
      <c r="D40" t="s">
        <v>14</v>
      </c>
      <c r="E40" t="s">
        <v>15</v>
      </c>
      <c r="F40" t="s">
        <v>16</v>
      </c>
      <c r="G40" t="s">
        <v>41</v>
      </c>
      <c r="H40" t="s">
        <v>37</v>
      </c>
      <c r="I40" t="s">
        <v>38</v>
      </c>
      <c r="J40" t="s">
        <v>26</v>
      </c>
      <c r="K40" t="s">
        <v>16</v>
      </c>
      <c r="L40" t="s">
        <v>21</v>
      </c>
      <c r="M40" t="s">
        <v>22</v>
      </c>
      <c r="N40" t="s">
        <v>22</v>
      </c>
      <c r="O40" t="s">
        <v>22</v>
      </c>
    </row>
    <row r="41" spans="1:15" x14ac:dyDescent="0.3">
      <c r="A41" t="s">
        <v>142</v>
      </c>
      <c r="B41" t="s">
        <v>143</v>
      </c>
      <c r="C41" t="s">
        <v>42</v>
      </c>
      <c r="D41" t="s">
        <v>14</v>
      </c>
      <c r="E41" t="s">
        <v>15</v>
      </c>
      <c r="F41" t="s">
        <v>16</v>
      </c>
      <c r="G41" t="s">
        <v>32</v>
      </c>
      <c r="H41" t="s">
        <v>25</v>
      </c>
      <c r="I41" t="s">
        <v>38</v>
      </c>
      <c r="J41" t="s">
        <v>33</v>
      </c>
      <c r="K41" t="s">
        <v>16</v>
      </c>
      <c r="L41" t="s">
        <v>21</v>
      </c>
      <c r="M41" t="s">
        <v>22</v>
      </c>
      <c r="N41" t="s">
        <v>22</v>
      </c>
      <c r="O41" t="s">
        <v>22</v>
      </c>
    </row>
    <row r="42" spans="1:15" x14ac:dyDescent="0.3">
      <c r="A42" t="s">
        <v>144</v>
      </c>
      <c r="B42" t="s">
        <v>145</v>
      </c>
      <c r="C42" t="s">
        <v>42</v>
      </c>
      <c r="D42" t="s">
        <v>23</v>
      </c>
      <c r="E42" t="s">
        <v>34</v>
      </c>
      <c r="F42" t="s">
        <v>16</v>
      </c>
      <c r="G42" t="s">
        <v>32</v>
      </c>
      <c r="H42" t="s">
        <v>25</v>
      </c>
      <c r="I42" t="s">
        <v>38</v>
      </c>
      <c r="J42" t="s">
        <v>26</v>
      </c>
      <c r="K42" t="s">
        <v>16</v>
      </c>
      <c r="L42" t="s">
        <v>21</v>
      </c>
      <c r="M42" t="s">
        <v>22</v>
      </c>
      <c r="N42" t="s">
        <v>16</v>
      </c>
      <c r="O42" t="s">
        <v>16</v>
      </c>
    </row>
    <row r="43" spans="1:15" x14ac:dyDescent="0.3">
      <c r="A43" t="s">
        <v>146</v>
      </c>
      <c r="B43" t="s">
        <v>147</v>
      </c>
      <c r="C43" t="s">
        <v>42</v>
      </c>
      <c r="D43" t="s">
        <v>23</v>
      </c>
      <c r="E43" t="s">
        <v>34</v>
      </c>
      <c r="F43" t="s">
        <v>16</v>
      </c>
      <c r="G43" t="s">
        <v>36</v>
      </c>
      <c r="H43" t="s">
        <v>37</v>
      </c>
      <c r="I43" t="s">
        <v>35</v>
      </c>
      <c r="J43" t="s">
        <v>26</v>
      </c>
      <c r="K43" t="s">
        <v>16</v>
      </c>
      <c r="L43" t="s">
        <v>21</v>
      </c>
      <c r="M43" t="s">
        <v>22</v>
      </c>
      <c r="N43" t="s">
        <v>16</v>
      </c>
      <c r="O43" t="s">
        <v>16</v>
      </c>
    </row>
    <row r="44" spans="1:15" x14ac:dyDescent="0.3">
      <c r="A44" t="s">
        <v>148</v>
      </c>
      <c r="B44" t="s">
        <v>149</v>
      </c>
      <c r="C44" t="s">
        <v>42</v>
      </c>
      <c r="D44" t="s">
        <v>46</v>
      </c>
      <c r="E44" t="s">
        <v>34</v>
      </c>
      <c r="F44" t="s">
        <v>16</v>
      </c>
      <c r="G44" t="s">
        <v>32</v>
      </c>
      <c r="H44" t="s">
        <v>25</v>
      </c>
      <c r="I44" t="s">
        <v>59</v>
      </c>
      <c r="J44" t="s">
        <v>26</v>
      </c>
      <c r="K44" t="s">
        <v>16</v>
      </c>
      <c r="L44" t="s">
        <v>27</v>
      </c>
      <c r="M44" t="s">
        <v>22</v>
      </c>
      <c r="N44" t="s">
        <v>16</v>
      </c>
      <c r="O44" t="s">
        <v>16</v>
      </c>
    </row>
    <row r="45" spans="1:15" x14ac:dyDescent="0.3">
      <c r="A45" t="s">
        <v>150</v>
      </c>
      <c r="B45" t="s">
        <v>151</v>
      </c>
      <c r="C45" t="s">
        <v>42</v>
      </c>
      <c r="D45" t="s">
        <v>14</v>
      </c>
      <c r="E45" t="s">
        <v>34</v>
      </c>
      <c r="F45" t="s">
        <v>16</v>
      </c>
      <c r="G45" t="s">
        <v>28</v>
      </c>
      <c r="H45" t="s">
        <v>18</v>
      </c>
      <c r="I45" t="s">
        <v>38</v>
      </c>
      <c r="J45" t="s">
        <v>33</v>
      </c>
      <c r="K45" t="s">
        <v>16</v>
      </c>
      <c r="L45" t="s">
        <v>31</v>
      </c>
      <c r="M45" t="s">
        <v>16</v>
      </c>
      <c r="N45" t="s">
        <v>22</v>
      </c>
      <c r="O45" t="s">
        <v>22</v>
      </c>
    </row>
    <row r="46" spans="1:15" x14ac:dyDescent="0.3">
      <c r="A46" t="s">
        <v>152</v>
      </c>
      <c r="B46" t="s">
        <v>153</v>
      </c>
      <c r="C46" t="s">
        <v>42</v>
      </c>
      <c r="D46" t="s">
        <v>46</v>
      </c>
      <c r="E46" t="s">
        <v>34</v>
      </c>
      <c r="F46" t="s">
        <v>16</v>
      </c>
      <c r="G46" t="s">
        <v>36</v>
      </c>
      <c r="H46" t="s">
        <v>37</v>
      </c>
      <c r="I46" t="s">
        <v>45</v>
      </c>
      <c r="J46" t="s">
        <v>33</v>
      </c>
      <c r="K46" t="s">
        <v>16</v>
      </c>
      <c r="L46" t="s">
        <v>27</v>
      </c>
      <c r="M46" t="s">
        <v>22</v>
      </c>
      <c r="N46" t="s">
        <v>16</v>
      </c>
      <c r="O46" t="s">
        <v>16</v>
      </c>
    </row>
    <row r="47" spans="1:15" x14ac:dyDescent="0.3">
      <c r="A47" t="s">
        <v>154</v>
      </c>
      <c r="B47" t="s">
        <v>155</v>
      </c>
      <c r="C47" t="s">
        <v>42</v>
      </c>
      <c r="D47" t="s">
        <v>14</v>
      </c>
      <c r="E47" t="s">
        <v>34</v>
      </c>
      <c r="F47" t="s">
        <v>16</v>
      </c>
      <c r="G47" t="s">
        <v>36</v>
      </c>
      <c r="H47" t="s">
        <v>25</v>
      </c>
      <c r="I47" t="s">
        <v>30</v>
      </c>
      <c r="J47" t="s">
        <v>33</v>
      </c>
      <c r="K47" t="s">
        <v>16</v>
      </c>
      <c r="L47" t="s">
        <v>21</v>
      </c>
      <c r="M47" t="s">
        <v>22</v>
      </c>
      <c r="N47" t="s">
        <v>22</v>
      </c>
      <c r="O47" t="s">
        <v>16</v>
      </c>
    </row>
    <row r="48" spans="1:15" x14ac:dyDescent="0.3">
      <c r="A48" t="s">
        <v>156</v>
      </c>
      <c r="B48" t="s">
        <v>157</v>
      </c>
      <c r="C48" t="s">
        <v>42</v>
      </c>
      <c r="D48" t="s">
        <v>46</v>
      </c>
      <c r="E48" t="s">
        <v>15</v>
      </c>
      <c r="F48" t="s">
        <v>16</v>
      </c>
      <c r="G48" t="s">
        <v>28</v>
      </c>
      <c r="H48" t="s">
        <v>18</v>
      </c>
      <c r="I48" t="s">
        <v>38</v>
      </c>
      <c r="J48" t="s">
        <v>26</v>
      </c>
      <c r="K48" t="s">
        <v>16</v>
      </c>
      <c r="L48" t="s">
        <v>21</v>
      </c>
      <c r="M48" t="s">
        <v>22</v>
      </c>
      <c r="N48" t="s">
        <v>22</v>
      </c>
      <c r="O48" t="s">
        <v>22</v>
      </c>
    </row>
    <row r="49" spans="1:15" x14ac:dyDescent="0.3">
      <c r="A49" t="s">
        <v>158</v>
      </c>
      <c r="B49" t="s">
        <v>159</v>
      </c>
      <c r="C49" t="s">
        <v>42</v>
      </c>
      <c r="D49" t="s">
        <v>14</v>
      </c>
      <c r="E49" t="s">
        <v>15</v>
      </c>
      <c r="F49" t="s">
        <v>16</v>
      </c>
      <c r="G49" t="s">
        <v>32</v>
      </c>
      <c r="H49" t="s">
        <v>37</v>
      </c>
      <c r="I49" t="s">
        <v>38</v>
      </c>
      <c r="J49" t="s">
        <v>33</v>
      </c>
      <c r="K49" t="s">
        <v>16</v>
      </c>
      <c r="L49" t="s">
        <v>27</v>
      </c>
      <c r="M49" t="s">
        <v>22</v>
      </c>
      <c r="N49" t="s">
        <v>16</v>
      </c>
      <c r="O49" t="s">
        <v>16</v>
      </c>
    </row>
    <row r="50" spans="1:15" x14ac:dyDescent="0.3">
      <c r="A50" t="s">
        <v>160</v>
      </c>
      <c r="B50" t="s">
        <v>161</v>
      </c>
      <c r="C50" t="s">
        <v>42</v>
      </c>
      <c r="D50" t="s">
        <v>51</v>
      </c>
      <c r="E50" t="s">
        <v>34</v>
      </c>
      <c r="F50" t="s">
        <v>16</v>
      </c>
      <c r="G50" t="s">
        <v>32</v>
      </c>
      <c r="H50" t="s">
        <v>29</v>
      </c>
      <c r="I50" t="s">
        <v>38</v>
      </c>
      <c r="J50" t="s">
        <v>33</v>
      </c>
      <c r="K50" t="s">
        <v>16</v>
      </c>
      <c r="L50" t="s">
        <v>27</v>
      </c>
      <c r="M50" t="s">
        <v>22</v>
      </c>
      <c r="N50" t="s">
        <v>16</v>
      </c>
      <c r="O50" t="s">
        <v>16</v>
      </c>
    </row>
    <row r="51" spans="1:15" x14ac:dyDescent="0.3">
      <c r="A51" t="s">
        <v>162</v>
      </c>
      <c r="B51" t="s">
        <v>163</v>
      </c>
      <c r="C51" t="s">
        <v>42</v>
      </c>
      <c r="D51" t="s">
        <v>23</v>
      </c>
      <c r="E51" t="s">
        <v>15</v>
      </c>
      <c r="F51" t="s">
        <v>16</v>
      </c>
      <c r="G51" t="s">
        <v>36</v>
      </c>
      <c r="H51" t="s">
        <v>25</v>
      </c>
      <c r="I51" t="s">
        <v>30</v>
      </c>
      <c r="J51" t="s">
        <v>26</v>
      </c>
      <c r="K51" t="s">
        <v>16</v>
      </c>
      <c r="L51" t="s">
        <v>27</v>
      </c>
      <c r="M51" t="s">
        <v>22</v>
      </c>
      <c r="N51" t="s">
        <v>16</v>
      </c>
      <c r="O51" t="s">
        <v>16</v>
      </c>
    </row>
    <row r="52" spans="1:15" x14ac:dyDescent="0.3">
      <c r="A52" t="s">
        <v>164</v>
      </c>
      <c r="B52" t="s">
        <v>165</v>
      </c>
      <c r="C52" t="s">
        <v>42</v>
      </c>
      <c r="D52" t="s">
        <v>14</v>
      </c>
      <c r="E52" t="s">
        <v>34</v>
      </c>
      <c r="F52" t="s">
        <v>16</v>
      </c>
      <c r="G52" t="s">
        <v>41</v>
      </c>
      <c r="H52" t="s">
        <v>25</v>
      </c>
      <c r="I52" t="s">
        <v>38</v>
      </c>
      <c r="J52" t="s">
        <v>33</v>
      </c>
      <c r="K52" t="s">
        <v>16</v>
      </c>
      <c r="L52" t="s">
        <v>21</v>
      </c>
      <c r="M52" t="s">
        <v>22</v>
      </c>
      <c r="N52" t="s">
        <v>16</v>
      </c>
      <c r="O52" t="s">
        <v>22</v>
      </c>
    </row>
    <row r="53" spans="1:15" x14ac:dyDescent="0.3">
      <c r="A53" t="s">
        <v>166</v>
      </c>
      <c r="B53" t="s">
        <v>167</v>
      </c>
      <c r="C53" t="s">
        <v>42</v>
      </c>
      <c r="D53" t="s">
        <v>14</v>
      </c>
      <c r="E53" t="s">
        <v>34</v>
      </c>
      <c r="F53" t="s">
        <v>16</v>
      </c>
      <c r="G53" t="s">
        <v>28</v>
      </c>
      <c r="H53" t="s">
        <v>25</v>
      </c>
      <c r="I53" t="s">
        <v>45</v>
      </c>
      <c r="J53" t="s">
        <v>26</v>
      </c>
      <c r="K53" t="s">
        <v>16</v>
      </c>
      <c r="L53" t="s">
        <v>27</v>
      </c>
      <c r="M53" t="s">
        <v>22</v>
      </c>
      <c r="N53" t="s">
        <v>16</v>
      </c>
      <c r="O53" t="s">
        <v>16</v>
      </c>
    </row>
    <row r="54" spans="1:15" x14ac:dyDescent="0.3">
      <c r="A54" t="s">
        <v>168</v>
      </c>
      <c r="B54" t="s">
        <v>169</v>
      </c>
      <c r="C54" t="s">
        <v>42</v>
      </c>
      <c r="D54" t="s">
        <v>14</v>
      </c>
      <c r="E54" t="s">
        <v>15</v>
      </c>
      <c r="F54" t="s">
        <v>16</v>
      </c>
      <c r="G54" t="s">
        <v>36</v>
      </c>
      <c r="H54" t="s">
        <v>25</v>
      </c>
      <c r="I54" t="s">
        <v>38</v>
      </c>
      <c r="J54" t="s">
        <v>26</v>
      </c>
      <c r="K54" t="s">
        <v>16</v>
      </c>
      <c r="L54" t="s">
        <v>27</v>
      </c>
      <c r="M54" t="s">
        <v>22</v>
      </c>
      <c r="N54" t="s">
        <v>16</v>
      </c>
      <c r="O54" t="s">
        <v>16</v>
      </c>
    </row>
    <row r="55" spans="1:15" x14ac:dyDescent="0.3">
      <c r="A55" t="s">
        <v>170</v>
      </c>
      <c r="B55" t="s">
        <v>171</v>
      </c>
      <c r="C55" t="s">
        <v>42</v>
      </c>
      <c r="D55" t="s">
        <v>14</v>
      </c>
      <c r="E55" t="s">
        <v>15</v>
      </c>
      <c r="F55" t="s">
        <v>16</v>
      </c>
      <c r="G55" t="s">
        <v>32</v>
      </c>
      <c r="H55" t="s">
        <v>25</v>
      </c>
      <c r="I55" t="s">
        <v>38</v>
      </c>
      <c r="J55" t="s">
        <v>33</v>
      </c>
      <c r="K55" t="s">
        <v>16</v>
      </c>
      <c r="L55" t="s">
        <v>27</v>
      </c>
      <c r="M55" t="s">
        <v>22</v>
      </c>
      <c r="N55" t="s">
        <v>16</v>
      </c>
      <c r="O55" t="s">
        <v>16</v>
      </c>
    </row>
    <row r="56" spans="1:15" x14ac:dyDescent="0.3">
      <c r="A56" t="s">
        <v>172</v>
      </c>
      <c r="B56" t="s">
        <v>173</v>
      </c>
      <c r="C56" t="s">
        <v>42</v>
      </c>
      <c r="D56" t="s">
        <v>23</v>
      </c>
      <c r="E56" t="s">
        <v>34</v>
      </c>
      <c r="F56" t="s">
        <v>16</v>
      </c>
      <c r="G56" t="s">
        <v>41</v>
      </c>
      <c r="H56" t="s">
        <v>25</v>
      </c>
      <c r="I56" t="s">
        <v>38</v>
      </c>
      <c r="J56" t="s">
        <v>26</v>
      </c>
      <c r="K56" t="s">
        <v>16</v>
      </c>
      <c r="L56" t="s">
        <v>21</v>
      </c>
      <c r="M56" t="s">
        <v>22</v>
      </c>
      <c r="N56" t="s">
        <v>16</v>
      </c>
      <c r="O56" t="s">
        <v>16</v>
      </c>
    </row>
    <row r="57" spans="1:15" x14ac:dyDescent="0.3">
      <c r="A57" t="s">
        <v>174</v>
      </c>
      <c r="B57" t="s">
        <v>175</v>
      </c>
      <c r="C57" t="s">
        <v>13</v>
      </c>
      <c r="D57" t="s">
        <v>23</v>
      </c>
      <c r="E57" t="s">
        <v>15</v>
      </c>
      <c r="F57" t="s">
        <v>16</v>
      </c>
      <c r="G57" t="s">
        <v>32</v>
      </c>
      <c r="H57" t="s">
        <v>25</v>
      </c>
      <c r="I57" t="s">
        <v>75</v>
      </c>
      <c r="J57" t="s">
        <v>33</v>
      </c>
      <c r="K57" t="s">
        <v>16</v>
      </c>
      <c r="L57" t="s">
        <v>21</v>
      </c>
      <c r="M57" t="s">
        <v>22</v>
      </c>
      <c r="N57" t="s">
        <v>16</v>
      </c>
      <c r="O57" t="s">
        <v>22</v>
      </c>
    </row>
    <row r="58" spans="1:15" x14ac:dyDescent="0.3">
      <c r="A58" t="s">
        <v>176</v>
      </c>
      <c r="B58" t="s">
        <v>177</v>
      </c>
      <c r="C58" t="s">
        <v>13</v>
      </c>
      <c r="D58" t="s">
        <v>51</v>
      </c>
      <c r="E58" t="s">
        <v>15</v>
      </c>
      <c r="F58" t="s">
        <v>16</v>
      </c>
      <c r="G58" t="s">
        <v>36</v>
      </c>
      <c r="H58" t="s">
        <v>37</v>
      </c>
      <c r="I58" t="s">
        <v>63</v>
      </c>
      <c r="J58" t="s">
        <v>33</v>
      </c>
      <c r="K58" t="s">
        <v>16</v>
      </c>
      <c r="L58" t="s">
        <v>27</v>
      </c>
      <c r="M58" t="s">
        <v>22</v>
      </c>
      <c r="N58" t="s">
        <v>16</v>
      </c>
      <c r="O58" t="s">
        <v>16</v>
      </c>
    </row>
    <row r="59" spans="1:15" x14ac:dyDescent="0.3">
      <c r="A59" t="s">
        <v>178</v>
      </c>
      <c r="B59" t="s">
        <v>179</v>
      </c>
      <c r="C59" t="s">
        <v>13</v>
      </c>
      <c r="D59" t="s">
        <v>23</v>
      </c>
      <c r="E59" t="s">
        <v>34</v>
      </c>
      <c r="F59" t="s">
        <v>16</v>
      </c>
      <c r="G59" t="s">
        <v>28</v>
      </c>
      <c r="H59" t="s">
        <v>18</v>
      </c>
      <c r="I59" t="s">
        <v>38</v>
      </c>
      <c r="J59" t="s">
        <v>26</v>
      </c>
      <c r="K59" t="s">
        <v>16</v>
      </c>
      <c r="L59" t="s">
        <v>31</v>
      </c>
      <c r="M59" t="s">
        <v>22</v>
      </c>
      <c r="N59" t="s">
        <v>16</v>
      </c>
      <c r="O59" t="s">
        <v>22</v>
      </c>
    </row>
    <row r="60" spans="1:15" x14ac:dyDescent="0.3">
      <c r="A60" t="s">
        <v>180</v>
      </c>
      <c r="B60" t="s">
        <v>181</v>
      </c>
      <c r="C60" t="s">
        <v>13</v>
      </c>
      <c r="D60" t="s">
        <v>23</v>
      </c>
      <c r="E60" t="s">
        <v>34</v>
      </c>
      <c r="F60" t="s">
        <v>16</v>
      </c>
      <c r="G60" t="s">
        <v>28</v>
      </c>
      <c r="H60" t="s">
        <v>25</v>
      </c>
      <c r="I60" t="s">
        <v>75</v>
      </c>
      <c r="J60" t="s">
        <v>33</v>
      </c>
      <c r="K60" t="s">
        <v>22</v>
      </c>
      <c r="L60" t="s">
        <v>31</v>
      </c>
      <c r="M60" t="s">
        <v>22</v>
      </c>
      <c r="N60" t="s">
        <v>22</v>
      </c>
      <c r="O60" t="s">
        <v>22</v>
      </c>
    </row>
    <row r="61" spans="1:15" x14ac:dyDescent="0.3">
      <c r="A61" t="s">
        <v>182</v>
      </c>
      <c r="B61" t="s">
        <v>183</v>
      </c>
      <c r="C61" t="s">
        <v>13</v>
      </c>
      <c r="D61" t="s">
        <v>51</v>
      </c>
      <c r="E61" t="s">
        <v>34</v>
      </c>
      <c r="F61" t="s">
        <v>16</v>
      </c>
      <c r="G61" t="s">
        <v>32</v>
      </c>
      <c r="H61" t="s">
        <v>25</v>
      </c>
      <c r="I61" t="s">
        <v>184</v>
      </c>
      <c r="J61" t="s">
        <v>33</v>
      </c>
      <c r="K61" t="s">
        <v>16</v>
      </c>
      <c r="L61" t="s">
        <v>21</v>
      </c>
      <c r="M61" t="s">
        <v>22</v>
      </c>
      <c r="N61" t="s">
        <v>16</v>
      </c>
      <c r="O61"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DD09-30EF-4FB6-B475-1B38B7C06152}">
  <dimension ref="A1:Q61"/>
  <sheetViews>
    <sheetView workbookViewId="0"/>
  </sheetViews>
  <sheetFormatPr defaultRowHeight="14.4" x14ac:dyDescent="0.3"/>
  <cols>
    <col min="1" max="1" width="14.3984375" style="19" bestFit="1" customWidth="1"/>
    <col min="5" max="5" width="18.5" bestFit="1" customWidth="1"/>
    <col min="6" max="6" width="20.59765625" bestFit="1" customWidth="1"/>
    <col min="7" max="7" width="14.3984375" bestFit="1" customWidth="1"/>
    <col min="8" max="8" width="30.296875" bestFit="1" customWidth="1"/>
    <col min="9" max="9" width="14.69921875" customWidth="1"/>
    <col min="10" max="10" width="9.296875" bestFit="1" customWidth="1"/>
    <col min="11" max="11" width="16" bestFit="1" customWidth="1"/>
    <col min="12" max="12" width="13.296875" bestFit="1" customWidth="1"/>
    <col min="13" max="13" width="26.09765625" bestFit="1" customWidth="1"/>
    <col min="14" max="14" width="18.69921875" bestFit="1" customWidth="1"/>
  </cols>
  <sheetData>
    <row r="1" spans="1:17" ht="22.75" customHeight="1" x14ac:dyDescent="0.3">
      <c r="A1" s="16" t="s">
        <v>188</v>
      </c>
      <c r="B1" s="7" t="s">
        <v>0</v>
      </c>
      <c r="C1" s="7" t="s">
        <v>193</v>
      </c>
      <c r="D1" s="7" t="s">
        <v>2</v>
      </c>
      <c r="E1" s="7" t="s">
        <v>196</v>
      </c>
      <c r="F1" s="7" t="s">
        <v>198</v>
      </c>
      <c r="G1" s="7" t="s">
        <v>200</v>
      </c>
      <c r="H1" s="7" t="s">
        <v>202</v>
      </c>
      <c r="I1" s="7" t="s">
        <v>204</v>
      </c>
      <c r="J1" s="7" t="s">
        <v>206</v>
      </c>
      <c r="K1" s="7" t="s">
        <v>208</v>
      </c>
      <c r="L1" s="7" t="s">
        <v>209</v>
      </c>
      <c r="M1" s="7" t="s">
        <v>211</v>
      </c>
      <c r="N1" s="8" t="s">
        <v>213</v>
      </c>
      <c r="O1" s="2"/>
      <c r="P1" s="2"/>
      <c r="Q1" s="2"/>
    </row>
    <row r="2" spans="1:17" x14ac:dyDescent="0.3">
      <c r="A2" s="17">
        <v>1</v>
      </c>
      <c r="B2" s="1" t="s">
        <v>13</v>
      </c>
      <c r="C2" s="1" t="s">
        <v>14</v>
      </c>
      <c r="D2" s="1" t="s">
        <v>15</v>
      </c>
      <c r="E2" s="1" t="s">
        <v>16</v>
      </c>
      <c r="F2" s="1" t="s">
        <v>17</v>
      </c>
      <c r="G2" s="1" t="s">
        <v>18</v>
      </c>
      <c r="H2" s="1" t="s">
        <v>19</v>
      </c>
      <c r="I2" s="1" t="s">
        <v>20</v>
      </c>
      <c r="J2" s="1" t="s">
        <v>16</v>
      </c>
      <c r="K2" s="1" t="s">
        <v>21</v>
      </c>
      <c r="L2" s="1" t="s">
        <v>16</v>
      </c>
      <c r="M2" s="1" t="s">
        <v>22</v>
      </c>
      <c r="N2" s="9" t="s">
        <v>16</v>
      </c>
    </row>
    <row r="3" spans="1:17" x14ac:dyDescent="0.3">
      <c r="A3" s="17">
        <v>2</v>
      </c>
      <c r="B3" s="1" t="s">
        <v>13</v>
      </c>
      <c r="C3" s="1" t="s">
        <v>23</v>
      </c>
      <c r="D3" s="1" t="s">
        <v>15</v>
      </c>
      <c r="E3" s="1" t="s">
        <v>16</v>
      </c>
      <c r="F3" s="1" t="s">
        <v>24</v>
      </c>
      <c r="G3" s="1" t="s">
        <v>25</v>
      </c>
      <c r="H3" s="1" t="s">
        <v>44</v>
      </c>
      <c r="I3" s="1" t="s">
        <v>26</v>
      </c>
      <c r="J3" s="1" t="s">
        <v>16</v>
      </c>
      <c r="K3" s="1" t="s">
        <v>27</v>
      </c>
      <c r="L3" s="1" t="s">
        <v>22</v>
      </c>
      <c r="M3" s="1" t="s">
        <v>22</v>
      </c>
      <c r="N3" s="9" t="s">
        <v>16</v>
      </c>
    </row>
    <row r="4" spans="1:17" x14ac:dyDescent="0.3">
      <c r="A4" s="17">
        <v>3</v>
      </c>
      <c r="B4" s="1" t="s">
        <v>13</v>
      </c>
      <c r="C4" s="1" t="s">
        <v>14</v>
      </c>
      <c r="D4" s="1" t="s">
        <v>15</v>
      </c>
      <c r="E4" s="1" t="s">
        <v>16</v>
      </c>
      <c r="F4" s="1" t="s">
        <v>28</v>
      </c>
      <c r="G4" s="1" t="s">
        <v>29</v>
      </c>
      <c r="H4" s="1" t="s">
        <v>30</v>
      </c>
      <c r="I4" s="1" t="s">
        <v>20</v>
      </c>
      <c r="J4" s="1" t="s">
        <v>22</v>
      </c>
      <c r="K4" s="1" t="s">
        <v>31</v>
      </c>
      <c r="L4" s="1" t="s">
        <v>16</v>
      </c>
      <c r="M4" s="1" t="s">
        <v>16</v>
      </c>
      <c r="N4" s="9" t="s">
        <v>16</v>
      </c>
    </row>
    <row r="5" spans="1:17" x14ac:dyDescent="0.3">
      <c r="A5" s="17">
        <v>4</v>
      </c>
      <c r="B5" s="1" t="s">
        <v>13</v>
      </c>
      <c r="C5" s="1" t="s">
        <v>14</v>
      </c>
      <c r="D5" s="1" t="s">
        <v>15</v>
      </c>
      <c r="E5" s="1" t="s">
        <v>16</v>
      </c>
      <c r="F5" s="1" t="s">
        <v>32</v>
      </c>
      <c r="G5" s="1" t="s">
        <v>25</v>
      </c>
      <c r="H5" s="1" t="s">
        <v>30</v>
      </c>
      <c r="I5" s="1" t="s">
        <v>33</v>
      </c>
      <c r="J5" s="1" t="s">
        <v>16</v>
      </c>
      <c r="K5" s="1" t="s">
        <v>21</v>
      </c>
      <c r="L5" s="1" t="s">
        <v>22</v>
      </c>
      <c r="M5" s="1" t="s">
        <v>22</v>
      </c>
      <c r="N5" s="9" t="s">
        <v>16</v>
      </c>
    </row>
    <row r="6" spans="1:17" x14ac:dyDescent="0.3">
      <c r="A6" s="17">
        <v>5</v>
      </c>
      <c r="B6" s="1" t="s">
        <v>13</v>
      </c>
      <c r="C6" s="1" t="s">
        <v>14</v>
      </c>
      <c r="D6" s="1" t="s">
        <v>34</v>
      </c>
      <c r="E6" s="1" t="s">
        <v>16</v>
      </c>
      <c r="F6" s="1" t="s">
        <v>32</v>
      </c>
      <c r="G6" s="1" t="s">
        <v>25</v>
      </c>
      <c r="H6" s="1" t="s">
        <v>35</v>
      </c>
      <c r="I6" s="1" t="s">
        <v>33</v>
      </c>
      <c r="J6" s="1" t="s">
        <v>16</v>
      </c>
      <c r="K6" s="1" t="s">
        <v>27</v>
      </c>
      <c r="L6" s="1" t="s">
        <v>22</v>
      </c>
      <c r="M6" s="1" t="s">
        <v>16</v>
      </c>
      <c r="N6" s="9" t="s">
        <v>16</v>
      </c>
    </row>
    <row r="7" spans="1:17" x14ac:dyDescent="0.3">
      <c r="A7" s="17">
        <v>6</v>
      </c>
      <c r="B7" s="1" t="s">
        <v>13</v>
      </c>
      <c r="C7" s="1" t="s">
        <v>14</v>
      </c>
      <c r="D7" s="1" t="s">
        <v>34</v>
      </c>
      <c r="E7" s="1" t="s">
        <v>16</v>
      </c>
      <c r="F7" s="1" t="s">
        <v>36</v>
      </c>
      <c r="G7" s="1" t="s">
        <v>37</v>
      </c>
      <c r="H7" s="1" t="s">
        <v>38</v>
      </c>
      <c r="I7" s="1" t="s">
        <v>33</v>
      </c>
      <c r="J7" s="1" t="s">
        <v>22</v>
      </c>
      <c r="K7" s="1" t="s">
        <v>21</v>
      </c>
      <c r="L7" s="1" t="s">
        <v>16</v>
      </c>
      <c r="M7" s="1" t="s">
        <v>22</v>
      </c>
      <c r="N7" s="9" t="s">
        <v>16</v>
      </c>
    </row>
    <row r="8" spans="1:17" x14ac:dyDescent="0.3">
      <c r="A8" s="17">
        <v>7</v>
      </c>
      <c r="B8" s="1" t="s">
        <v>13</v>
      </c>
      <c r="C8" s="1" t="s">
        <v>14</v>
      </c>
      <c r="D8" s="1" t="s">
        <v>15</v>
      </c>
      <c r="E8" s="1" t="s">
        <v>16</v>
      </c>
      <c r="F8" s="1" t="s">
        <v>39</v>
      </c>
      <c r="G8" s="1" t="s">
        <v>18</v>
      </c>
      <c r="H8" s="1" t="s">
        <v>40</v>
      </c>
      <c r="I8" s="1" t="s">
        <v>33</v>
      </c>
      <c r="J8" s="1" t="s">
        <v>16</v>
      </c>
      <c r="K8" s="1" t="s">
        <v>21</v>
      </c>
      <c r="L8" s="1" t="s">
        <v>16</v>
      </c>
      <c r="M8" s="1" t="s">
        <v>16</v>
      </c>
      <c r="N8" s="9" t="s">
        <v>16</v>
      </c>
    </row>
    <row r="9" spans="1:17" x14ac:dyDescent="0.3">
      <c r="A9" s="17">
        <v>8</v>
      </c>
      <c r="B9" s="1" t="s">
        <v>13</v>
      </c>
      <c r="C9" s="1" t="s">
        <v>14</v>
      </c>
      <c r="D9" s="1" t="s">
        <v>34</v>
      </c>
      <c r="E9" s="1" t="s">
        <v>16</v>
      </c>
      <c r="F9" s="1" t="s">
        <v>17</v>
      </c>
      <c r="G9" s="1" t="s">
        <v>37</v>
      </c>
      <c r="H9" s="1" t="s">
        <v>30</v>
      </c>
      <c r="I9" s="1" t="s">
        <v>33</v>
      </c>
      <c r="J9" s="1" t="s">
        <v>22</v>
      </c>
      <c r="K9" s="1" t="s">
        <v>21</v>
      </c>
      <c r="L9" s="1" t="s">
        <v>16</v>
      </c>
      <c r="M9" s="1" t="s">
        <v>22</v>
      </c>
      <c r="N9" s="9" t="s">
        <v>16</v>
      </c>
    </row>
    <row r="10" spans="1:17" x14ac:dyDescent="0.3">
      <c r="A10" s="17">
        <v>9</v>
      </c>
      <c r="B10" s="1" t="s">
        <v>13</v>
      </c>
      <c r="C10" s="1" t="s">
        <v>14</v>
      </c>
      <c r="D10" s="1" t="s">
        <v>15</v>
      </c>
      <c r="E10" s="1" t="s">
        <v>16</v>
      </c>
      <c r="F10" s="1" t="s">
        <v>41</v>
      </c>
      <c r="G10" s="1" t="s">
        <v>25</v>
      </c>
      <c r="H10" s="1" t="s">
        <v>38</v>
      </c>
      <c r="I10" s="1" t="s">
        <v>33</v>
      </c>
      <c r="J10" s="1" t="s">
        <v>16</v>
      </c>
      <c r="K10" s="1" t="s">
        <v>21</v>
      </c>
      <c r="L10" s="1" t="s">
        <v>22</v>
      </c>
      <c r="M10" s="1" t="s">
        <v>16</v>
      </c>
      <c r="N10" s="9" t="s">
        <v>16</v>
      </c>
    </row>
    <row r="11" spans="1:17" x14ac:dyDescent="0.3">
      <c r="A11" s="17">
        <v>10</v>
      </c>
      <c r="B11" s="1" t="s">
        <v>42</v>
      </c>
      <c r="C11" s="1" t="s">
        <v>14</v>
      </c>
      <c r="D11" s="1" t="s">
        <v>15</v>
      </c>
      <c r="E11" s="1" t="s">
        <v>16</v>
      </c>
      <c r="F11" s="1" t="s">
        <v>41</v>
      </c>
      <c r="G11" s="1" t="s">
        <v>25</v>
      </c>
      <c r="H11" s="1" t="s">
        <v>43</v>
      </c>
      <c r="I11" s="1" t="s">
        <v>26</v>
      </c>
      <c r="J11" s="1" t="s">
        <v>16</v>
      </c>
      <c r="K11" s="1" t="s">
        <v>21</v>
      </c>
      <c r="L11" s="1" t="s">
        <v>16</v>
      </c>
      <c r="M11" s="1" t="s">
        <v>22</v>
      </c>
      <c r="N11" s="9" t="s">
        <v>16</v>
      </c>
    </row>
    <row r="12" spans="1:17" x14ac:dyDescent="0.3">
      <c r="A12" s="17">
        <v>11</v>
      </c>
      <c r="B12" s="1" t="s">
        <v>13</v>
      </c>
      <c r="C12" s="1" t="s">
        <v>23</v>
      </c>
      <c r="D12" s="1" t="s">
        <v>34</v>
      </c>
      <c r="E12" s="1" t="s">
        <v>16</v>
      </c>
      <c r="F12" s="1" t="s">
        <v>32</v>
      </c>
      <c r="G12" s="1" t="s">
        <v>18</v>
      </c>
      <c r="H12" s="1" t="s">
        <v>35</v>
      </c>
      <c r="I12" s="1" t="s">
        <v>28</v>
      </c>
      <c r="J12" s="1" t="s">
        <v>16</v>
      </c>
      <c r="K12" s="1" t="s">
        <v>21</v>
      </c>
      <c r="L12" s="1" t="s">
        <v>22</v>
      </c>
      <c r="M12" s="1" t="s">
        <v>22</v>
      </c>
      <c r="N12" s="9" t="s">
        <v>16</v>
      </c>
    </row>
    <row r="13" spans="1:17" x14ac:dyDescent="0.3">
      <c r="A13" s="17">
        <v>12</v>
      </c>
      <c r="B13" s="1" t="s">
        <v>13</v>
      </c>
      <c r="C13" s="1" t="s">
        <v>23</v>
      </c>
      <c r="D13" s="1" t="s">
        <v>34</v>
      </c>
      <c r="E13" s="1" t="s">
        <v>16</v>
      </c>
      <c r="F13" s="1" t="s">
        <v>17</v>
      </c>
      <c r="G13" s="1" t="s">
        <v>18</v>
      </c>
      <c r="H13" s="1" t="s">
        <v>44</v>
      </c>
      <c r="I13" s="1" t="s">
        <v>20</v>
      </c>
      <c r="J13" s="1" t="s">
        <v>16</v>
      </c>
      <c r="K13" s="1" t="s">
        <v>27</v>
      </c>
      <c r="L13" s="1" t="s">
        <v>16</v>
      </c>
      <c r="M13" s="1" t="s">
        <v>16</v>
      </c>
      <c r="N13" s="9" t="s">
        <v>16</v>
      </c>
    </row>
    <row r="14" spans="1:17" x14ac:dyDescent="0.3">
      <c r="A14" s="17">
        <v>13</v>
      </c>
      <c r="B14" s="1" t="s">
        <v>13</v>
      </c>
      <c r="C14" s="1" t="s">
        <v>23</v>
      </c>
      <c r="D14" s="1" t="s">
        <v>34</v>
      </c>
      <c r="E14" s="1" t="s">
        <v>16</v>
      </c>
      <c r="F14" s="1" t="s">
        <v>32</v>
      </c>
      <c r="G14" s="1" t="s">
        <v>25</v>
      </c>
      <c r="H14" s="1" t="s">
        <v>35</v>
      </c>
      <c r="I14" s="1" t="s">
        <v>20</v>
      </c>
      <c r="J14" s="1" t="s">
        <v>16</v>
      </c>
      <c r="K14" s="1" t="s">
        <v>27</v>
      </c>
      <c r="L14" s="1" t="s">
        <v>22</v>
      </c>
      <c r="M14" s="1" t="s">
        <v>16</v>
      </c>
      <c r="N14" s="9" t="s">
        <v>16</v>
      </c>
    </row>
    <row r="15" spans="1:17" x14ac:dyDescent="0.3">
      <c r="A15" s="17">
        <v>14</v>
      </c>
      <c r="B15" s="1" t="s">
        <v>13</v>
      </c>
      <c r="C15" s="1" t="s">
        <v>23</v>
      </c>
      <c r="D15" s="1" t="s">
        <v>15</v>
      </c>
      <c r="E15" s="1" t="s">
        <v>16</v>
      </c>
      <c r="F15" s="1" t="s">
        <v>32</v>
      </c>
      <c r="G15" s="1" t="s">
        <v>18</v>
      </c>
      <c r="H15" s="1" t="s">
        <v>44</v>
      </c>
      <c r="I15" s="1" t="s">
        <v>33</v>
      </c>
      <c r="J15" s="1" t="s">
        <v>16</v>
      </c>
      <c r="K15" s="1" t="s">
        <v>21</v>
      </c>
      <c r="L15" s="1" t="s">
        <v>16</v>
      </c>
      <c r="M15" s="1" t="s">
        <v>16</v>
      </c>
      <c r="N15" s="9" t="s">
        <v>16</v>
      </c>
    </row>
    <row r="16" spans="1:17" x14ac:dyDescent="0.3">
      <c r="A16" s="17">
        <v>15</v>
      </c>
      <c r="B16" s="1" t="s">
        <v>13</v>
      </c>
      <c r="C16" s="1" t="s">
        <v>14</v>
      </c>
      <c r="D16" s="1" t="s">
        <v>34</v>
      </c>
      <c r="E16" s="1" t="s">
        <v>22</v>
      </c>
      <c r="F16" s="1" t="s">
        <v>28</v>
      </c>
      <c r="G16" s="1" t="s">
        <v>37</v>
      </c>
      <c r="H16" s="1" t="s">
        <v>45</v>
      </c>
      <c r="I16" s="1" t="s">
        <v>26</v>
      </c>
      <c r="J16" s="1" t="s">
        <v>16</v>
      </c>
      <c r="K16" s="1" t="s">
        <v>27</v>
      </c>
      <c r="L16" s="1" t="s">
        <v>22</v>
      </c>
      <c r="M16" s="1" t="s">
        <v>22</v>
      </c>
      <c r="N16" s="9" t="s">
        <v>16</v>
      </c>
    </row>
    <row r="17" spans="1:14" x14ac:dyDescent="0.3">
      <c r="A17" s="17">
        <v>16</v>
      </c>
      <c r="B17" s="1" t="s">
        <v>13</v>
      </c>
      <c r="C17" s="1" t="s">
        <v>14</v>
      </c>
      <c r="D17" s="1" t="s">
        <v>34</v>
      </c>
      <c r="E17" s="1" t="s">
        <v>22</v>
      </c>
      <c r="F17" s="1" t="s">
        <v>36</v>
      </c>
      <c r="G17" s="1" t="s">
        <v>37</v>
      </c>
      <c r="H17" s="1" t="s">
        <v>45</v>
      </c>
      <c r="I17" s="1" t="s">
        <v>33</v>
      </c>
      <c r="J17" s="1" t="s">
        <v>16</v>
      </c>
      <c r="K17" s="1" t="s">
        <v>21</v>
      </c>
      <c r="L17" s="1" t="s">
        <v>16</v>
      </c>
      <c r="M17" s="1" t="s">
        <v>22</v>
      </c>
      <c r="N17" s="9" t="s">
        <v>16</v>
      </c>
    </row>
    <row r="18" spans="1:14" x14ac:dyDescent="0.3">
      <c r="A18" s="17">
        <v>17</v>
      </c>
      <c r="B18" s="1" t="s">
        <v>13</v>
      </c>
      <c r="C18" s="1" t="s">
        <v>14</v>
      </c>
      <c r="D18" s="1" t="s">
        <v>15</v>
      </c>
      <c r="E18" s="1" t="s">
        <v>16</v>
      </c>
      <c r="F18" s="1" t="s">
        <v>28</v>
      </c>
      <c r="G18" s="1" t="s">
        <v>18</v>
      </c>
      <c r="H18" s="1" t="s">
        <v>35</v>
      </c>
      <c r="I18" s="1" t="s">
        <v>20</v>
      </c>
      <c r="J18" s="1" t="s">
        <v>16</v>
      </c>
      <c r="K18" s="1" t="s">
        <v>21</v>
      </c>
      <c r="L18" s="1" t="s">
        <v>16</v>
      </c>
      <c r="M18" s="1" t="s">
        <v>22</v>
      </c>
      <c r="N18" s="9" t="s">
        <v>16</v>
      </c>
    </row>
    <row r="19" spans="1:14" x14ac:dyDescent="0.3">
      <c r="A19" s="17">
        <v>18</v>
      </c>
      <c r="B19" s="1" t="s">
        <v>13</v>
      </c>
      <c r="C19" s="1" t="s">
        <v>14</v>
      </c>
      <c r="D19" s="1" t="s">
        <v>34</v>
      </c>
      <c r="E19" s="1" t="s">
        <v>22</v>
      </c>
      <c r="F19" s="1" t="s">
        <v>36</v>
      </c>
      <c r="G19" s="1" t="s">
        <v>18</v>
      </c>
      <c r="H19" s="1" t="s">
        <v>35</v>
      </c>
      <c r="I19" s="1" t="s">
        <v>20</v>
      </c>
      <c r="J19" s="1" t="s">
        <v>16</v>
      </c>
      <c r="K19" s="1" t="s">
        <v>21</v>
      </c>
      <c r="L19" s="1" t="s">
        <v>16</v>
      </c>
      <c r="M19" s="1" t="s">
        <v>22</v>
      </c>
      <c r="N19" s="9" t="s">
        <v>16</v>
      </c>
    </row>
    <row r="20" spans="1:14" x14ac:dyDescent="0.3">
      <c r="A20" s="17">
        <v>19</v>
      </c>
      <c r="B20" s="1" t="s">
        <v>13</v>
      </c>
      <c r="C20" s="1" t="s">
        <v>23</v>
      </c>
      <c r="D20" s="1" t="s">
        <v>15</v>
      </c>
      <c r="E20" s="1" t="s">
        <v>16</v>
      </c>
      <c r="F20" s="1" t="s">
        <v>47</v>
      </c>
      <c r="G20" s="1" t="s">
        <v>18</v>
      </c>
      <c r="H20" s="1" t="s">
        <v>52</v>
      </c>
      <c r="I20" s="1" t="s">
        <v>33</v>
      </c>
      <c r="J20" s="1" t="s">
        <v>16</v>
      </c>
      <c r="K20" s="1" t="s">
        <v>27</v>
      </c>
      <c r="L20" s="1" t="s">
        <v>16</v>
      </c>
      <c r="M20" s="1" t="s">
        <v>16</v>
      </c>
      <c r="N20" s="9" t="s">
        <v>16</v>
      </c>
    </row>
    <row r="21" spans="1:14" x14ac:dyDescent="0.3">
      <c r="A21" s="17">
        <v>20</v>
      </c>
      <c r="B21" s="1" t="s">
        <v>13</v>
      </c>
      <c r="C21" s="1" t="s">
        <v>23</v>
      </c>
      <c r="D21" s="1" t="s">
        <v>34</v>
      </c>
      <c r="E21" s="1" t="s">
        <v>16</v>
      </c>
      <c r="F21" s="1" t="s">
        <v>32</v>
      </c>
      <c r="G21" s="1" t="s">
        <v>37</v>
      </c>
      <c r="H21" s="1" t="s">
        <v>35</v>
      </c>
      <c r="I21" s="1" t="s">
        <v>28</v>
      </c>
      <c r="J21" s="1" t="s">
        <v>16</v>
      </c>
      <c r="K21" s="1" t="s">
        <v>21</v>
      </c>
      <c r="L21" s="1" t="s">
        <v>16</v>
      </c>
      <c r="M21" s="1" t="s">
        <v>16</v>
      </c>
      <c r="N21" s="9" t="s">
        <v>16</v>
      </c>
    </row>
    <row r="22" spans="1:14" x14ac:dyDescent="0.3">
      <c r="A22" s="17">
        <v>21</v>
      </c>
      <c r="B22" s="1" t="s">
        <v>13</v>
      </c>
      <c r="C22" s="1" t="s">
        <v>23</v>
      </c>
      <c r="D22" s="1" t="s">
        <v>15</v>
      </c>
      <c r="E22" s="1" t="s">
        <v>16</v>
      </c>
      <c r="F22" s="1" t="s">
        <v>32</v>
      </c>
      <c r="G22" s="1" t="s">
        <v>25</v>
      </c>
      <c r="H22" s="1" t="s">
        <v>35</v>
      </c>
      <c r="I22" s="1" t="s">
        <v>33</v>
      </c>
      <c r="J22" s="1" t="s">
        <v>16</v>
      </c>
      <c r="K22" s="1" t="s">
        <v>27</v>
      </c>
      <c r="L22" s="1" t="s">
        <v>16</v>
      </c>
      <c r="M22" s="1" t="s">
        <v>22</v>
      </c>
      <c r="N22" s="9" t="s">
        <v>16</v>
      </c>
    </row>
    <row r="23" spans="1:14" x14ac:dyDescent="0.3">
      <c r="A23" s="17">
        <v>22</v>
      </c>
      <c r="B23" s="1" t="s">
        <v>13</v>
      </c>
      <c r="C23" s="1" t="s">
        <v>14</v>
      </c>
      <c r="D23" s="1" t="s">
        <v>15</v>
      </c>
      <c r="E23" s="1" t="s">
        <v>16</v>
      </c>
      <c r="F23" s="1" t="s">
        <v>41</v>
      </c>
      <c r="G23" s="1" t="s">
        <v>37</v>
      </c>
      <c r="H23" s="1" t="s">
        <v>45</v>
      </c>
      <c r="I23" s="1" t="s">
        <v>26</v>
      </c>
      <c r="J23" s="1" t="s">
        <v>16</v>
      </c>
      <c r="K23" s="1" t="s">
        <v>21</v>
      </c>
      <c r="L23" s="1" t="s">
        <v>16</v>
      </c>
      <c r="M23" s="1" t="s">
        <v>16</v>
      </c>
      <c r="N23" s="9" t="s">
        <v>16</v>
      </c>
    </row>
    <row r="24" spans="1:14" x14ac:dyDescent="0.3">
      <c r="A24" s="17">
        <v>23</v>
      </c>
      <c r="B24" s="1" t="s">
        <v>13</v>
      </c>
      <c r="C24" s="1" t="s">
        <v>23</v>
      </c>
      <c r="D24" s="1" t="s">
        <v>34</v>
      </c>
      <c r="E24" s="1" t="s">
        <v>16</v>
      </c>
      <c r="F24" s="1" t="s">
        <v>41</v>
      </c>
      <c r="G24" s="1" t="s">
        <v>29</v>
      </c>
      <c r="H24" s="1" t="s">
        <v>38</v>
      </c>
      <c r="I24" s="1" t="s">
        <v>26</v>
      </c>
      <c r="J24" s="1" t="s">
        <v>48</v>
      </c>
      <c r="K24" s="1" t="s">
        <v>27</v>
      </c>
      <c r="L24" s="1" t="s">
        <v>22</v>
      </c>
      <c r="M24" s="1" t="s">
        <v>16</v>
      </c>
      <c r="N24" s="9" t="s">
        <v>16</v>
      </c>
    </row>
    <row r="25" spans="1:14" x14ac:dyDescent="0.3">
      <c r="A25" s="17">
        <v>24</v>
      </c>
      <c r="B25" s="1" t="s">
        <v>13</v>
      </c>
      <c r="C25" s="1" t="s">
        <v>14</v>
      </c>
      <c r="D25" s="1" t="s">
        <v>34</v>
      </c>
      <c r="E25" s="1" t="s">
        <v>16</v>
      </c>
      <c r="F25" s="1" t="s">
        <v>32</v>
      </c>
      <c r="G25" s="1" t="s">
        <v>18</v>
      </c>
      <c r="H25" s="1" t="s">
        <v>49</v>
      </c>
      <c r="I25" s="1" t="s">
        <v>26</v>
      </c>
      <c r="J25" s="1" t="s">
        <v>16</v>
      </c>
      <c r="K25" s="1" t="s">
        <v>27</v>
      </c>
      <c r="L25" s="1" t="s">
        <v>16</v>
      </c>
      <c r="M25" s="1" t="s">
        <v>16</v>
      </c>
      <c r="N25" s="9" t="s">
        <v>16</v>
      </c>
    </row>
    <row r="26" spans="1:14" x14ac:dyDescent="0.3">
      <c r="A26" s="17">
        <v>25</v>
      </c>
      <c r="B26" s="1" t="s">
        <v>13</v>
      </c>
      <c r="C26" s="1" t="s">
        <v>23</v>
      </c>
      <c r="D26" s="1" t="s">
        <v>34</v>
      </c>
      <c r="E26" s="1" t="s">
        <v>16</v>
      </c>
      <c r="F26" s="1" t="s">
        <v>41</v>
      </c>
      <c r="G26" s="1" t="s">
        <v>29</v>
      </c>
      <c r="H26" s="1" t="s">
        <v>45</v>
      </c>
      <c r="I26" s="1" t="s">
        <v>26</v>
      </c>
      <c r="J26" s="1" t="s">
        <v>16</v>
      </c>
      <c r="K26" s="1" t="s">
        <v>27</v>
      </c>
      <c r="L26" s="1" t="s">
        <v>16</v>
      </c>
      <c r="M26" s="1" t="s">
        <v>22</v>
      </c>
      <c r="N26" s="9" t="s">
        <v>22</v>
      </c>
    </row>
    <row r="27" spans="1:14" x14ac:dyDescent="0.3">
      <c r="A27" s="17">
        <v>26</v>
      </c>
      <c r="B27" s="1" t="s">
        <v>13</v>
      </c>
      <c r="C27" s="1" t="s">
        <v>14</v>
      </c>
      <c r="D27" s="1" t="s">
        <v>34</v>
      </c>
      <c r="E27" s="1" t="s">
        <v>16</v>
      </c>
      <c r="F27" s="1" t="s">
        <v>39</v>
      </c>
      <c r="G27" s="1" t="s">
        <v>18</v>
      </c>
      <c r="H27" s="1" t="s">
        <v>38</v>
      </c>
      <c r="I27" s="1" t="s">
        <v>33</v>
      </c>
      <c r="J27" s="1" t="s">
        <v>16</v>
      </c>
      <c r="K27" s="1" t="s">
        <v>21</v>
      </c>
      <c r="L27" s="1" t="s">
        <v>16</v>
      </c>
      <c r="M27" s="1" t="s">
        <v>22</v>
      </c>
      <c r="N27" s="9" t="s">
        <v>16</v>
      </c>
    </row>
    <row r="28" spans="1:14" x14ac:dyDescent="0.3">
      <c r="A28" s="17">
        <v>27</v>
      </c>
      <c r="B28" s="1" t="s">
        <v>13</v>
      </c>
      <c r="C28" s="1" t="s">
        <v>14</v>
      </c>
      <c r="D28" s="1" t="s">
        <v>34</v>
      </c>
      <c r="E28" s="1" t="s">
        <v>16</v>
      </c>
      <c r="F28" s="1" t="s">
        <v>41</v>
      </c>
      <c r="G28" s="1" t="s">
        <v>37</v>
      </c>
      <c r="H28" s="1" t="s">
        <v>30</v>
      </c>
      <c r="I28" s="1" t="s">
        <v>26</v>
      </c>
      <c r="J28" s="1" t="s">
        <v>16</v>
      </c>
      <c r="K28" s="1" t="s">
        <v>21</v>
      </c>
      <c r="L28" s="1" t="s">
        <v>22</v>
      </c>
      <c r="M28" s="1" t="s">
        <v>16</v>
      </c>
      <c r="N28" s="9" t="s">
        <v>16</v>
      </c>
    </row>
    <row r="29" spans="1:14" x14ac:dyDescent="0.3">
      <c r="A29" s="17">
        <v>28</v>
      </c>
      <c r="B29" s="1" t="s">
        <v>13</v>
      </c>
      <c r="C29" s="1" t="s">
        <v>23</v>
      </c>
      <c r="D29" s="1" t="s">
        <v>34</v>
      </c>
      <c r="E29" s="1" t="s">
        <v>16</v>
      </c>
      <c r="F29" s="1" t="s">
        <v>17</v>
      </c>
      <c r="G29" s="1" t="s">
        <v>18</v>
      </c>
      <c r="H29" s="1" t="s">
        <v>38</v>
      </c>
      <c r="I29" s="1" t="s">
        <v>33</v>
      </c>
      <c r="J29" s="1" t="s">
        <v>16</v>
      </c>
      <c r="K29" s="1" t="s">
        <v>21</v>
      </c>
      <c r="L29" s="1" t="s">
        <v>22</v>
      </c>
      <c r="M29" s="1" t="s">
        <v>16</v>
      </c>
      <c r="N29" s="9" t="s">
        <v>16</v>
      </c>
    </row>
    <row r="30" spans="1:14" x14ac:dyDescent="0.3">
      <c r="A30" s="17">
        <v>29</v>
      </c>
      <c r="B30" s="1" t="s">
        <v>13</v>
      </c>
      <c r="C30" s="1" t="s">
        <v>14</v>
      </c>
      <c r="D30" s="1" t="s">
        <v>15</v>
      </c>
      <c r="E30" s="1" t="s">
        <v>16</v>
      </c>
      <c r="F30" s="1" t="s">
        <v>24</v>
      </c>
      <c r="G30" s="1" t="s">
        <v>29</v>
      </c>
      <c r="H30" s="1" t="s">
        <v>50</v>
      </c>
      <c r="I30" s="1" t="s">
        <v>20</v>
      </c>
      <c r="J30" s="1" t="s">
        <v>16</v>
      </c>
      <c r="K30" s="1" t="s">
        <v>27</v>
      </c>
      <c r="L30" s="1" t="s">
        <v>16</v>
      </c>
      <c r="M30" s="1" t="s">
        <v>16</v>
      </c>
      <c r="N30" s="9" t="s">
        <v>16</v>
      </c>
    </row>
    <row r="31" spans="1:14" x14ac:dyDescent="0.3">
      <c r="A31" s="17">
        <v>30</v>
      </c>
      <c r="B31" s="1" t="s">
        <v>13</v>
      </c>
      <c r="C31" s="1" t="s">
        <v>14</v>
      </c>
      <c r="D31" s="1" t="s">
        <v>34</v>
      </c>
      <c r="E31" s="1" t="s">
        <v>16</v>
      </c>
      <c r="F31" s="1" t="s">
        <v>32</v>
      </c>
      <c r="G31" s="1" t="s">
        <v>25</v>
      </c>
      <c r="H31" s="1" t="s">
        <v>35</v>
      </c>
      <c r="I31" s="1" t="s">
        <v>33</v>
      </c>
      <c r="J31" s="1" t="s">
        <v>16</v>
      </c>
      <c r="K31" s="1" t="s">
        <v>21</v>
      </c>
      <c r="L31" s="1" t="s">
        <v>16</v>
      </c>
      <c r="M31" s="1" t="s">
        <v>22</v>
      </c>
      <c r="N31" s="9" t="s">
        <v>16</v>
      </c>
    </row>
    <row r="32" spans="1:14" x14ac:dyDescent="0.3">
      <c r="A32" s="17">
        <v>31</v>
      </c>
      <c r="B32" s="1" t="s">
        <v>13</v>
      </c>
      <c r="C32" s="1" t="s">
        <v>14</v>
      </c>
      <c r="D32" s="1" t="s">
        <v>34</v>
      </c>
      <c r="E32" s="1" t="s">
        <v>16</v>
      </c>
      <c r="F32" s="1" t="s">
        <v>32</v>
      </c>
      <c r="G32" s="1" t="s">
        <v>25</v>
      </c>
      <c r="H32" s="1" t="s">
        <v>35</v>
      </c>
      <c r="I32" s="1" t="s">
        <v>20</v>
      </c>
      <c r="J32" s="1" t="s">
        <v>16</v>
      </c>
      <c r="K32" s="1" t="s">
        <v>27</v>
      </c>
      <c r="L32" s="1" t="s">
        <v>22</v>
      </c>
      <c r="M32" s="1" t="s">
        <v>16</v>
      </c>
      <c r="N32" s="9" t="s">
        <v>16</v>
      </c>
    </row>
    <row r="33" spans="1:14" x14ac:dyDescent="0.3">
      <c r="A33" s="17">
        <v>32</v>
      </c>
      <c r="B33" s="1" t="s">
        <v>13</v>
      </c>
      <c r="C33" s="1" t="s">
        <v>23</v>
      </c>
      <c r="D33" s="1" t="s">
        <v>15</v>
      </c>
      <c r="E33" s="1" t="s">
        <v>16</v>
      </c>
      <c r="F33" s="1" t="s">
        <v>32</v>
      </c>
      <c r="G33" s="1" t="s">
        <v>25</v>
      </c>
      <c r="H33" s="1" t="s">
        <v>38</v>
      </c>
      <c r="I33" s="1" t="s">
        <v>33</v>
      </c>
      <c r="J33" s="1" t="s">
        <v>16</v>
      </c>
      <c r="K33" s="1" t="s">
        <v>27</v>
      </c>
      <c r="L33" s="1" t="s">
        <v>22</v>
      </c>
      <c r="M33" s="1" t="s">
        <v>22</v>
      </c>
      <c r="N33" s="9" t="s">
        <v>16</v>
      </c>
    </row>
    <row r="34" spans="1:14" x14ac:dyDescent="0.3">
      <c r="A34" s="17">
        <v>33</v>
      </c>
      <c r="B34" s="1" t="s">
        <v>13</v>
      </c>
      <c r="C34" s="1" t="s">
        <v>23</v>
      </c>
      <c r="D34" s="1" t="s">
        <v>15</v>
      </c>
      <c r="E34" s="1" t="s">
        <v>16</v>
      </c>
      <c r="F34" s="1" t="s">
        <v>41</v>
      </c>
      <c r="G34" s="1" t="s">
        <v>37</v>
      </c>
      <c r="H34" s="1" t="s">
        <v>40</v>
      </c>
      <c r="I34" s="1" t="s">
        <v>26</v>
      </c>
      <c r="J34" s="1" t="s">
        <v>16</v>
      </c>
      <c r="K34" s="1" t="s">
        <v>21</v>
      </c>
      <c r="L34" s="1" t="s">
        <v>16</v>
      </c>
      <c r="M34" s="1" t="s">
        <v>16</v>
      </c>
      <c r="N34" s="9" t="s">
        <v>16</v>
      </c>
    </row>
    <row r="35" spans="1:14" x14ac:dyDescent="0.3">
      <c r="A35" s="17">
        <v>34</v>
      </c>
      <c r="B35" s="1" t="s">
        <v>13</v>
      </c>
      <c r="C35" s="1" t="s">
        <v>23</v>
      </c>
      <c r="D35" s="1" t="s">
        <v>15</v>
      </c>
      <c r="E35" s="1" t="s">
        <v>16</v>
      </c>
      <c r="F35" s="1" t="s">
        <v>41</v>
      </c>
      <c r="G35" s="1" t="s">
        <v>25</v>
      </c>
      <c r="H35" s="1" t="s">
        <v>35</v>
      </c>
      <c r="I35" s="1" t="s">
        <v>33</v>
      </c>
      <c r="J35" s="1" t="s">
        <v>16</v>
      </c>
      <c r="K35" s="1" t="s">
        <v>21</v>
      </c>
      <c r="L35" s="1" t="s">
        <v>22</v>
      </c>
      <c r="M35" s="1" t="s">
        <v>16</v>
      </c>
      <c r="N35" s="9" t="s">
        <v>16</v>
      </c>
    </row>
    <row r="36" spans="1:14" x14ac:dyDescent="0.3">
      <c r="A36" s="17">
        <v>35</v>
      </c>
      <c r="B36" s="1" t="s">
        <v>13</v>
      </c>
      <c r="C36" s="1" t="s">
        <v>14</v>
      </c>
      <c r="D36" s="1" t="s">
        <v>15</v>
      </c>
      <c r="E36" s="1" t="s">
        <v>16</v>
      </c>
      <c r="F36" s="1" t="s">
        <v>28</v>
      </c>
      <c r="G36" s="1" t="s">
        <v>18</v>
      </c>
      <c r="H36" s="1" t="s">
        <v>38</v>
      </c>
      <c r="I36" s="1" t="s">
        <v>33</v>
      </c>
      <c r="J36" s="1" t="s">
        <v>16</v>
      </c>
      <c r="K36" s="1" t="s">
        <v>21</v>
      </c>
      <c r="L36" s="1" t="s">
        <v>22</v>
      </c>
      <c r="M36" s="1" t="s">
        <v>16</v>
      </c>
      <c r="N36" s="9" t="s">
        <v>22</v>
      </c>
    </row>
    <row r="37" spans="1:14" x14ac:dyDescent="0.3">
      <c r="A37" s="17">
        <v>36</v>
      </c>
      <c r="B37" s="1" t="s">
        <v>13</v>
      </c>
      <c r="C37" s="1" t="s">
        <v>23</v>
      </c>
      <c r="D37" s="1" t="s">
        <v>15</v>
      </c>
      <c r="E37" s="1" t="s">
        <v>16</v>
      </c>
      <c r="F37" s="1" t="s">
        <v>28</v>
      </c>
      <c r="G37" s="1" t="s">
        <v>18</v>
      </c>
      <c r="H37" s="1" t="s">
        <v>38</v>
      </c>
      <c r="I37" s="1" t="s">
        <v>33</v>
      </c>
      <c r="J37" s="1" t="s">
        <v>16</v>
      </c>
      <c r="K37" s="1" t="s">
        <v>21</v>
      </c>
      <c r="L37" s="1" t="s">
        <v>22</v>
      </c>
      <c r="M37" s="1" t="s">
        <v>16</v>
      </c>
      <c r="N37" s="9" t="s">
        <v>22</v>
      </c>
    </row>
    <row r="38" spans="1:14" x14ac:dyDescent="0.3">
      <c r="A38" s="17">
        <v>37</v>
      </c>
      <c r="B38" s="1" t="s">
        <v>13</v>
      </c>
      <c r="C38" s="1" t="s">
        <v>14</v>
      </c>
      <c r="D38" s="1" t="s">
        <v>15</v>
      </c>
      <c r="E38" s="1" t="s">
        <v>16</v>
      </c>
      <c r="F38" s="1" t="s">
        <v>28</v>
      </c>
      <c r="G38" s="1" t="s">
        <v>18</v>
      </c>
      <c r="H38" s="1" t="s">
        <v>38</v>
      </c>
      <c r="I38" s="1" t="s">
        <v>33</v>
      </c>
      <c r="J38" s="1" t="s">
        <v>16</v>
      </c>
      <c r="K38" s="1" t="s">
        <v>21</v>
      </c>
      <c r="L38" s="1" t="s">
        <v>22</v>
      </c>
      <c r="M38" s="1" t="s">
        <v>22</v>
      </c>
      <c r="N38" s="9" t="s">
        <v>22</v>
      </c>
    </row>
    <row r="39" spans="1:14" x14ac:dyDescent="0.3">
      <c r="A39" s="17">
        <v>38</v>
      </c>
      <c r="B39" s="1" t="s">
        <v>13</v>
      </c>
      <c r="C39" s="1" t="s">
        <v>14</v>
      </c>
      <c r="D39" s="1" t="s">
        <v>15</v>
      </c>
      <c r="E39" s="1" t="s">
        <v>16</v>
      </c>
      <c r="F39" s="1" t="s">
        <v>36</v>
      </c>
      <c r="G39" s="1" t="s">
        <v>25</v>
      </c>
      <c r="H39" s="1" t="s">
        <v>38</v>
      </c>
      <c r="I39" s="1" t="s">
        <v>33</v>
      </c>
      <c r="J39" s="1" t="s">
        <v>16</v>
      </c>
      <c r="K39" s="1" t="s">
        <v>21</v>
      </c>
      <c r="L39" s="1" t="s">
        <v>22</v>
      </c>
      <c r="M39" s="1" t="s">
        <v>22</v>
      </c>
      <c r="N39" s="9" t="s">
        <v>22</v>
      </c>
    </row>
    <row r="40" spans="1:14" x14ac:dyDescent="0.3">
      <c r="A40" s="17">
        <v>39</v>
      </c>
      <c r="B40" s="1" t="s">
        <v>42</v>
      </c>
      <c r="C40" s="1" t="s">
        <v>14</v>
      </c>
      <c r="D40" s="1" t="s">
        <v>15</v>
      </c>
      <c r="E40" s="1" t="s">
        <v>16</v>
      </c>
      <c r="F40" s="1" t="s">
        <v>41</v>
      </c>
      <c r="G40" s="1" t="s">
        <v>37</v>
      </c>
      <c r="H40" s="1" t="s">
        <v>38</v>
      </c>
      <c r="I40" s="1" t="s">
        <v>26</v>
      </c>
      <c r="J40" s="1" t="s">
        <v>16</v>
      </c>
      <c r="K40" s="1" t="s">
        <v>21</v>
      </c>
      <c r="L40" s="1" t="s">
        <v>22</v>
      </c>
      <c r="M40" s="1" t="s">
        <v>22</v>
      </c>
      <c r="N40" s="9" t="s">
        <v>22</v>
      </c>
    </row>
    <row r="41" spans="1:14" x14ac:dyDescent="0.3">
      <c r="A41" s="17">
        <v>40</v>
      </c>
      <c r="B41" s="1" t="s">
        <v>42</v>
      </c>
      <c r="C41" s="1" t="s">
        <v>14</v>
      </c>
      <c r="D41" s="1" t="s">
        <v>15</v>
      </c>
      <c r="E41" s="1" t="s">
        <v>16</v>
      </c>
      <c r="F41" s="1" t="s">
        <v>32</v>
      </c>
      <c r="G41" s="1" t="s">
        <v>25</v>
      </c>
      <c r="H41" s="1" t="s">
        <v>38</v>
      </c>
      <c r="I41" s="1" t="s">
        <v>33</v>
      </c>
      <c r="J41" s="1" t="s">
        <v>16</v>
      </c>
      <c r="K41" s="1" t="s">
        <v>21</v>
      </c>
      <c r="L41" s="1" t="s">
        <v>22</v>
      </c>
      <c r="M41" s="1" t="s">
        <v>22</v>
      </c>
      <c r="N41" s="9" t="s">
        <v>22</v>
      </c>
    </row>
    <row r="42" spans="1:14" x14ac:dyDescent="0.3">
      <c r="A42" s="17">
        <v>41</v>
      </c>
      <c r="B42" s="1" t="s">
        <v>42</v>
      </c>
      <c r="C42" s="1" t="s">
        <v>23</v>
      </c>
      <c r="D42" s="1" t="s">
        <v>34</v>
      </c>
      <c r="E42" s="1" t="s">
        <v>16</v>
      </c>
      <c r="F42" s="1" t="s">
        <v>32</v>
      </c>
      <c r="G42" s="1" t="s">
        <v>25</v>
      </c>
      <c r="H42" s="1" t="s">
        <v>38</v>
      </c>
      <c r="I42" s="1" t="s">
        <v>26</v>
      </c>
      <c r="J42" s="1" t="s">
        <v>16</v>
      </c>
      <c r="K42" s="1" t="s">
        <v>21</v>
      </c>
      <c r="L42" s="1" t="s">
        <v>22</v>
      </c>
      <c r="M42" s="1" t="s">
        <v>16</v>
      </c>
      <c r="N42" s="9" t="s">
        <v>16</v>
      </c>
    </row>
    <row r="43" spans="1:14" x14ac:dyDescent="0.3">
      <c r="A43" s="17">
        <v>42</v>
      </c>
      <c r="B43" s="1" t="s">
        <v>42</v>
      </c>
      <c r="C43" s="1" t="s">
        <v>23</v>
      </c>
      <c r="D43" s="1" t="s">
        <v>34</v>
      </c>
      <c r="E43" s="1" t="s">
        <v>16</v>
      </c>
      <c r="F43" s="1" t="s">
        <v>36</v>
      </c>
      <c r="G43" s="1" t="s">
        <v>37</v>
      </c>
      <c r="H43" s="1" t="s">
        <v>35</v>
      </c>
      <c r="I43" s="1" t="s">
        <v>26</v>
      </c>
      <c r="J43" s="1" t="s">
        <v>16</v>
      </c>
      <c r="K43" s="1" t="s">
        <v>21</v>
      </c>
      <c r="L43" s="1" t="s">
        <v>22</v>
      </c>
      <c r="M43" s="1" t="s">
        <v>16</v>
      </c>
      <c r="N43" s="9" t="s">
        <v>16</v>
      </c>
    </row>
    <row r="44" spans="1:14" x14ac:dyDescent="0.3">
      <c r="A44" s="17">
        <v>43</v>
      </c>
      <c r="B44" s="1" t="s">
        <v>42</v>
      </c>
      <c r="C44" s="1" t="s">
        <v>14</v>
      </c>
      <c r="D44" s="1" t="s">
        <v>34</v>
      </c>
      <c r="E44" s="1" t="s">
        <v>16</v>
      </c>
      <c r="F44" s="1" t="s">
        <v>32</v>
      </c>
      <c r="G44" s="1" t="s">
        <v>25</v>
      </c>
      <c r="H44" s="1" t="s">
        <v>19</v>
      </c>
      <c r="I44" s="1" t="s">
        <v>26</v>
      </c>
      <c r="J44" s="1" t="s">
        <v>16</v>
      </c>
      <c r="K44" s="1" t="s">
        <v>27</v>
      </c>
      <c r="L44" s="1" t="s">
        <v>22</v>
      </c>
      <c r="M44" s="1" t="s">
        <v>16</v>
      </c>
      <c r="N44" s="9" t="s">
        <v>16</v>
      </c>
    </row>
    <row r="45" spans="1:14" x14ac:dyDescent="0.3">
      <c r="A45" s="17">
        <v>44</v>
      </c>
      <c r="B45" s="1" t="s">
        <v>42</v>
      </c>
      <c r="C45" s="1" t="s">
        <v>14</v>
      </c>
      <c r="D45" s="1" t="s">
        <v>34</v>
      </c>
      <c r="E45" s="1" t="s">
        <v>16</v>
      </c>
      <c r="F45" s="1" t="s">
        <v>28</v>
      </c>
      <c r="G45" s="1" t="s">
        <v>18</v>
      </c>
      <c r="H45" s="1" t="s">
        <v>38</v>
      </c>
      <c r="I45" s="1" t="s">
        <v>33</v>
      </c>
      <c r="J45" s="1" t="s">
        <v>16</v>
      </c>
      <c r="K45" s="1" t="s">
        <v>31</v>
      </c>
      <c r="L45" s="1" t="s">
        <v>16</v>
      </c>
      <c r="M45" s="1" t="s">
        <v>22</v>
      </c>
      <c r="N45" s="9" t="s">
        <v>22</v>
      </c>
    </row>
    <row r="46" spans="1:14" x14ac:dyDescent="0.3">
      <c r="A46" s="17">
        <v>45</v>
      </c>
      <c r="B46" s="1" t="s">
        <v>42</v>
      </c>
      <c r="C46" s="1" t="s">
        <v>14</v>
      </c>
      <c r="D46" s="1" t="s">
        <v>34</v>
      </c>
      <c r="E46" s="1" t="s">
        <v>16</v>
      </c>
      <c r="F46" s="1" t="s">
        <v>36</v>
      </c>
      <c r="G46" s="1" t="s">
        <v>37</v>
      </c>
      <c r="H46" s="1" t="s">
        <v>45</v>
      </c>
      <c r="I46" s="1" t="s">
        <v>33</v>
      </c>
      <c r="J46" s="1" t="s">
        <v>16</v>
      </c>
      <c r="K46" s="1" t="s">
        <v>27</v>
      </c>
      <c r="L46" s="1" t="s">
        <v>22</v>
      </c>
      <c r="M46" s="1" t="s">
        <v>16</v>
      </c>
      <c r="N46" s="9" t="s">
        <v>16</v>
      </c>
    </row>
    <row r="47" spans="1:14" x14ac:dyDescent="0.3">
      <c r="A47" s="17">
        <v>46</v>
      </c>
      <c r="B47" s="1" t="s">
        <v>42</v>
      </c>
      <c r="C47" s="1" t="s">
        <v>14</v>
      </c>
      <c r="D47" s="1" t="s">
        <v>34</v>
      </c>
      <c r="E47" s="1" t="s">
        <v>16</v>
      </c>
      <c r="F47" s="1" t="s">
        <v>36</v>
      </c>
      <c r="G47" s="1" t="s">
        <v>25</v>
      </c>
      <c r="H47" s="1" t="s">
        <v>30</v>
      </c>
      <c r="I47" s="1" t="s">
        <v>33</v>
      </c>
      <c r="J47" s="1" t="s">
        <v>16</v>
      </c>
      <c r="K47" s="1" t="s">
        <v>21</v>
      </c>
      <c r="L47" s="1" t="s">
        <v>22</v>
      </c>
      <c r="M47" s="1" t="s">
        <v>22</v>
      </c>
      <c r="N47" s="9" t="s">
        <v>16</v>
      </c>
    </row>
    <row r="48" spans="1:14" x14ac:dyDescent="0.3">
      <c r="A48" s="17">
        <v>47</v>
      </c>
      <c r="B48" s="1" t="s">
        <v>42</v>
      </c>
      <c r="C48" s="1" t="s">
        <v>14</v>
      </c>
      <c r="D48" s="1" t="s">
        <v>15</v>
      </c>
      <c r="E48" s="1" t="s">
        <v>16</v>
      </c>
      <c r="F48" s="1" t="s">
        <v>28</v>
      </c>
      <c r="G48" s="1" t="s">
        <v>18</v>
      </c>
      <c r="H48" s="1" t="s">
        <v>38</v>
      </c>
      <c r="I48" s="1" t="s">
        <v>26</v>
      </c>
      <c r="J48" s="1" t="s">
        <v>16</v>
      </c>
      <c r="K48" s="1" t="s">
        <v>21</v>
      </c>
      <c r="L48" s="1" t="s">
        <v>22</v>
      </c>
      <c r="M48" s="1" t="s">
        <v>22</v>
      </c>
      <c r="N48" s="9" t="s">
        <v>22</v>
      </c>
    </row>
    <row r="49" spans="1:14" x14ac:dyDescent="0.3">
      <c r="A49" s="17">
        <v>48</v>
      </c>
      <c r="B49" s="1" t="s">
        <v>42</v>
      </c>
      <c r="C49" s="1" t="s">
        <v>14</v>
      </c>
      <c r="D49" s="1" t="s">
        <v>15</v>
      </c>
      <c r="E49" s="1" t="s">
        <v>16</v>
      </c>
      <c r="F49" s="1" t="s">
        <v>32</v>
      </c>
      <c r="G49" s="1" t="s">
        <v>37</v>
      </c>
      <c r="H49" s="1" t="s">
        <v>38</v>
      </c>
      <c r="I49" s="1" t="s">
        <v>33</v>
      </c>
      <c r="J49" s="1" t="s">
        <v>16</v>
      </c>
      <c r="K49" s="1" t="s">
        <v>27</v>
      </c>
      <c r="L49" s="1" t="s">
        <v>22</v>
      </c>
      <c r="M49" s="1" t="s">
        <v>16</v>
      </c>
      <c r="N49" s="9" t="s">
        <v>16</v>
      </c>
    </row>
    <row r="50" spans="1:14" x14ac:dyDescent="0.3">
      <c r="A50" s="17">
        <v>49</v>
      </c>
      <c r="B50" s="1" t="s">
        <v>42</v>
      </c>
      <c r="C50" s="1" t="s">
        <v>14</v>
      </c>
      <c r="D50" s="1" t="s">
        <v>34</v>
      </c>
      <c r="E50" s="1" t="s">
        <v>16</v>
      </c>
      <c r="F50" s="1" t="s">
        <v>32</v>
      </c>
      <c r="G50" s="1" t="s">
        <v>29</v>
      </c>
      <c r="H50" s="1" t="s">
        <v>38</v>
      </c>
      <c r="I50" s="1" t="s">
        <v>33</v>
      </c>
      <c r="J50" s="1" t="s">
        <v>16</v>
      </c>
      <c r="K50" s="1" t="s">
        <v>27</v>
      </c>
      <c r="L50" s="1" t="s">
        <v>22</v>
      </c>
      <c r="M50" s="1" t="s">
        <v>16</v>
      </c>
      <c r="N50" s="9" t="s">
        <v>16</v>
      </c>
    </row>
    <row r="51" spans="1:14" x14ac:dyDescent="0.3">
      <c r="A51" s="17">
        <v>50</v>
      </c>
      <c r="B51" s="1" t="s">
        <v>42</v>
      </c>
      <c r="C51" s="1" t="s">
        <v>23</v>
      </c>
      <c r="D51" s="1" t="s">
        <v>15</v>
      </c>
      <c r="E51" s="1" t="s">
        <v>16</v>
      </c>
      <c r="F51" s="1" t="s">
        <v>36</v>
      </c>
      <c r="G51" s="1" t="s">
        <v>25</v>
      </c>
      <c r="H51" s="1" t="s">
        <v>30</v>
      </c>
      <c r="I51" s="1" t="s">
        <v>26</v>
      </c>
      <c r="J51" s="1" t="s">
        <v>16</v>
      </c>
      <c r="K51" s="1" t="s">
        <v>27</v>
      </c>
      <c r="L51" s="1" t="s">
        <v>22</v>
      </c>
      <c r="M51" s="1" t="s">
        <v>16</v>
      </c>
      <c r="N51" s="9" t="s">
        <v>16</v>
      </c>
    </row>
    <row r="52" spans="1:14" x14ac:dyDescent="0.3">
      <c r="A52" s="17">
        <v>51</v>
      </c>
      <c r="B52" s="1" t="s">
        <v>42</v>
      </c>
      <c r="C52" s="1" t="s">
        <v>14</v>
      </c>
      <c r="D52" s="1" t="s">
        <v>34</v>
      </c>
      <c r="E52" s="1" t="s">
        <v>16</v>
      </c>
      <c r="F52" s="1" t="s">
        <v>41</v>
      </c>
      <c r="G52" s="1" t="s">
        <v>25</v>
      </c>
      <c r="H52" s="1" t="s">
        <v>38</v>
      </c>
      <c r="I52" s="1" t="s">
        <v>33</v>
      </c>
      <c r="J52" s="1" t="s">
        <v>16</v>
      </c>
      <c r="K52" s="1" t="s">
        <v>21</v>
      </c>
      <c r="L52" s="1" t="s">
        <v>22</v>
      </c>
      <c r="M52" s="1" t="s">
        <v>16</v>
      </c>
      <c r="N52" s="9" t="s">
        <v>22</v>
      </c>
    </row>
    <row r="53" spans="1:14" x14ac:dyDescent="0.3">
      <c r="A53" s="17">
        <v>52</v>
      </c>
      <c r="B53" s="1" t="s">
        <v>42</v>
      </c>
      <c r="C53" s="1" t="s">
        <v>14</v>
      </c>
      <c r="D53" s="1" t="s">
        <v>34</v>
      </c>
      <c r="E53" s="1" t="s">
        <v>16</v>
      </c>
      <c r="F53" s="1" t="s">
        <v>28</v>
      </c>
      <c r="G53" s="1" t="s">
        <v>25</v>
      </c>
      <c r="H53" s="1" t="s">
        <v>45</v>
      </c>
      <c r="I53" s="1" t="s">
        <v>26</v>
      </c>
      <c r="J53" s="1" t="s">
        <v>16</v>
      </c>
      <c r="K53" s="1" t="s">
        <v>27</v>
      </c>
      <c r="L53" s="1" t="s">
        <v>22</v>
      </c>
      <c r="M53" s="1" t="s">
        <v>16</v>
      </c>
      <c r="N53" s="9" t="s">
        <v>16</v>
      </c>
    </row>
    <row r="54" spans="1:14" x14ac:dyDescent="0.3">
      <c r="A54" s="17">
        <v>53</v>
      </c>
      <c r="B54" s="1" t="s">
        <v>42</v>
      </c>
      <c r="C54" s="1" t="s">
        <v>14</v>
      </c>
      <c r="D54" s="1" t="s">
        <v>15</v>
      </c>
      <c r="E54" s="1" t="s">
        <v>16</v>
      </c>
      <c r="F54" s="1" t="s">
        <v>36</v>
      </c>
      <c r="G54" s="1" t="s">
        <v>25</v>
      </c>
      <c r="H54" s="1" t="s">
        <v>38</v>
      </c>
      <c r="I54" s="1" t="s">
        <v>26</v>
      </c>
      <c r="J54" s="1" t="s">
        <v>16</v>
      </c>
      <c r="K54" s="1" t="s">
        <v>27</v>
      </c>
      <c r="L54" s="1" t="s">
        <v>22</v>
      </c>
      <c r="M54" s="1" t="s">
        <v>16</v>
      </c>
      <c r="N54" s="9" t="s">
        <v>16</v>
      </c>
    </row>
    <row r="55" spans="1:14" x14ac:dyDescent="0.3">
      <c r="A55" s="17">
        <v>54</v>
      </c>
      <c r="B55" s="1" t="s">
        <v>42</v>
      </c>
      <c r="C55" s="1" t="s">
        <v>14</v>
      </c>
      <c r="D55" s="1" t="s">
        <v>15</v>
      </c>
      <c r="E55" s="1" t="s">
        <v>16</v>
      </c>
      <c r="F55" s="1" t="s">
        <v>32</v>
      </c>
      <c r="G55" s="1" t="s">
        <v>25</v>
      </c>
      <c r="H55" s="1" t="s">
        <v>38</v>
      </c>
      <c r="I55" s="1" t="s">
        <v>33</v>
      </c>
      <c r="J55" s="1" t="s">
        <v>16</v>
      </c>
      <c r="K55" s="1" t="s">
        <v>27</v>
      </c>
      <c r="L55" s="1" t="s">
        <v>22</v>
      </c>
      <c r="M55" s="1" t="s">
        <v>16</v>
      </c>
      <c r="N55" s="9" t="s">
        <v>16</v>
      </c>
    </row>
    <row r="56" spans="1:14" x14ac:dyDescent="0.3">
      <c r="A56" s="17">
        <v>55</v>
      </c>
      <c r="B56" s="1" t="s">
        <v>42</v>
      </c>
      <c r="C56" s="1" t="s">
        <v>23</v>
      </c>
      <c r="D56" s="1" t="s">
        <v>34</v>
      </c>
      <c r="E56" s="1" t="s">
        <v>16</v>
      </c>
      <c r="F56" s="1" t="s">
        <v>41</v>
      </c>
      <c r="G56" s="1" t="s">
        <v>25</v>
      </c>
      <c r="H56" s="1" t="s">
        <v>38</v>
      </c>
      <c r="I56" s="1" t="s">
        <v>26</v>
      </c>
      <c r="J56" s="1" t="s">
        <v>16</v>
      </c>
      <c r="K56" s="1" t="s">
        <v>21</v>
      </c>
      <c r="L56" s="1" t="s">
        <v>22</v>
      </c>
      <c r="M56" s="1" t="s">
        <v>16</v>
      </c>
      <c r="N56" s="9" t="s">
        <v>16</v>
      </c>
    </row>
    <row r="57" spans="1:14" x14ac:dyDescent="0.3">
      <c r="A57" s="17">
        <v>56</v>
      </c>
      <c r="B57" s="1" t="s">
        <v>13</v>
      </c>
      <c r="C57" s="1" t="s">
        <v>23</v>
      </c>
      <c r="D57" s="1" t="s">
        <v>15</v>
      </c>
      <c r="E57" s="1" t="s">
        <v>16</v>
      </c>
      <c r="F57" s="1" t="s">
        <v>32</v>
      </c>
      <c r="G57" s="1" t="s">
        <v>25</v>
      </c>
      <c r="H57" s="1" t="s">
        <v>40</v>
      </c>
      <c r="I57" s="1" t="s">
        <v>33</v>
      </c>
      <c r="J57" s="1" t="s">
        <v>16</v>
      </c>
      <c r="K57" s="1" t="s">
        <v>21</v>
      </c>
      <c r="L57" s="1" t="s">
        <v>22</v>
      </c>
      <c r="M57" s="1" t="s">
        <v>16</v>
      </c>
      <c r="N57" s="9" t="s">
        <v>22</v>
      </c>
    </row>
    <row r="58" spans="1:14" x14ac:dyDescent="0.3">
      <c r="A58" s="17">
        <v>57</v>
      </c>
      <c r="B58" s="1" t="s">
        <v>13</v>
      </c>
      <c r="C58" s="1" t="s">
        <v>23</v>
      </c>
      <c r="D58" s="1" t="s">
        <v>15</v>
      </c>
      <c r="E58" s="1" t="s">
        <v>16</v>
      </c>
      <c r="F58" s="1" t="s">
        <v>36</v>
      </c>
      <c r="G58" s="1" t="s">
        <v>37</v>
      </c>
      <c r="H58" s="1" t="s">
        <v>53</v>
      </c>
      <c r="I58" s="1" t="s">
        <v>33</v>
      </c>
      <c r="J58" s="1" t="s">
        <v>16</v>
      </c>
      <c r="K58" s="1" t="s">
        <v>27</v>
      </c>
      <c r="L58" s="1" t="s">
        <v>22</v>
      </c>
      <c r="M58" s="1" t="s">
        <v>16</v>
      </c>
      <c r="N58" s="9" t="s">
        <v>16</v>
      </c>
    </row>
    <row r="59" spans="1:14" x14ac:dyDescent="0.3">
      <c r="A59" s="17">
        <v>58</v>
      </c>
      <c r="B59" s="1" t="s">
        <v>13</v>
      </c>
      <c r="C59" s="1" t="s">
        <v>23</v>
      </c>
      <c r="D59" s="1" t="s">
        <v>34</v>
      </c>
      <c r="E59" s="1" t="s">
        <v>16</v>
      </c>
      <c r="F59" s="1" t="s">
        <v>28</v>
      </c>
      <c r="G59" s="1" t="s">
        <v>18</v>
      </c>
      <c r="H59" s="1" t="s">
        <v>38</v>
      </c>
      <c r="I59" s="1" t="s">
        <v>26</v>
      </c>
      <c r="J59" s="1" t="s">
        <v>16</v>
      </c>
      <c r="K59" s="1" t="s">
        <v>31</v>
      </c>
      <c r="L59" s="1" t="s">
        <v>22</v>
      </c>
      <c r="M59" s="1" t="s">
        <v>16</v>
      </c>
      <c r="N59" s="9" t="s">
        <v>22</v>
      </c>
    </row>
    <row r="60" spans="1:14" x14ac:dyDescent="0.3">
      <c r="A60" s="17">
        <v>59</v>
      </c>
      <c r="B60" s="1" t="s">
        <v>13</v>
      </c>
      <c r="C60" s="1" t="s">
        <v>23</v>
      </c>
      <c r="D60" s="1" t="s">
        <v>34</v>
      </c>
      <c r="E60" s="1" t="s">
        <v>16</v>
      </c>
      <c r="F60" s="1" t="s">
        <v>28</v>
      </c>
      <c r="G60" s="1" t="s">
        <v>25</v>
      </c>
      <c r="H60" s="1" t="s">
        <v>40</v>
      </c>
      <c r="I60" s="1" t="s">
        <v>33</v>
      </c>
      <c r="J60" s="1" t="s">
        <v>22</v>
      </c>
      <c r="K60" s="1" t="s">
        <v>31</v>
      </c>
      <c r="L60" s="1" t="s">
        <v>22</v>
      </c>
      <c r="M60" s="1" t="s">
        <v>22</v>
      </c>
      <c r="N60" s="9" t="s">
        <v>22</v>
      </c>
    </row>
    <row r="61" spans="1:14" x14ac:dyDescent="0.3">
      <c r="A61" s="18">
        <v>60</v>
      </c>
      <c r="B61" s="10" t="s">
        <v>13</v>
      </c>
      <c r="C61" s="10" t="s">
        <v>23</v>
      </c>
      <c r="D61" s="10" t="s">
        <v>34</v>
      </c>
      <c r="E61" s="10" t="s">
        <v>16</v>
      </c>
      <c r="F61" s="10" t="s">
        <v>32</v>
      </c>
      <c r="G61" s="10" t="s">
        <v>25</v>
      </c>
      <c r="H61" s="10" t="s">
        <v>52</v>
      </c>
      <c r="I61" s="10" t="s">
        <v>33</v>
      </c>
      <c r="J61" s="10" t="s">
        <v>16</v>
      </c>
      <c r="K61" s="10" t="s">
        <v>21</v>
      </c>
      <c r="L61" s="10" t="s">
        <v>22</v>
      </c>
      <c r="M61" s="10" t="s">
        <v>16</v>
      </c>
      <c r="N61" s="3"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4B4AD-F919-4373-84D8-3C49172342E9}">
  <dimension ref="A1:C15"/>
  <sheetViews>
    <sheetView workbookViewId="0">
      <selection sqref="A1:C1"/>
    </sheetView>
  </sheetViews>
  <sheetFormatPr defaultRowHeight="14.4" x14ac:dyDescent="0.3"/>
  <cols>
    <col min="1" max="1" width="19.296875" customWidth="1"/>
    <col min="2" max="2" width="24.296875" customWidth="1"/>
    <col min="3" max="3" width="11.796875" customWidth="1"/>
  </cols>
  <sheetData>
    <row r="1" spans="1:3" ht="22.15" customHeight="1" x14ac:dyDescent="0.3">
      <c r="A1" s="6" t="s">
        <v>185</v>
      </c>
      <c r="B1" s="6" t="s">
        <v>186</v>
      </c>
      <c r="C1" s="6" t="s">
        <v>187</v>
      </c>
    </row>
    <row r="2" spans="1:3" ht="17.2" customHeight="1" x14ac:dyDescent="0.3">
      <c r="A2" s="4" t="s">
        <v>188</v>
      </c>
      <c r="B2" s="4" t="s">
        <v>189</v>
      </c>
      <c r="C2" s="4" t="s">
        <v>190</v>
      </c>
    </row>
    <row r="3" spans="1:3" x14ac:dyDescent="0.3">
      <c r="A3" s="4" t="s">
        <v>0</v>
      </c>
      <c r="B3" s="4" t="s">
        <v>191</v>
      </c>
      <c r="C3" s="4" t="s">
        <v>192</v>
      </c>
    </row>
    <row r="4" spans="1:3" x14ac:dyDescent="0.3">
      <c r="A4" s="4" t="s">
        <v>193</v>
      </c>
      <c r="B4" s="4" t="s">
        <v>194</v>
      </c>
      <c r="C4" s="4" t="s">
        <v>192</v>
      </c>
    </row>
    <row r="5" spans="1:3" x14ac:dyDescent="0.3">
      <c r="A5" s="4" t="s">
        <v>2</v>
      </c>
      <c r="B5" s="4" t="s">
        <v>195</v>
      </c>
      <c r="C5" s="4" t="s">
        <v>192</v>
      </c>
    </row>
    <row r="6" spans="1:3" x14ac:dyDescent="0.3">
      <c r="A6" s="4" t="s">
        <v>196</v>
      </c>
      <c r="B6" s="4" t="s">
        <v>197</v>
      </c>
      <c r="C6" s="4" t="s">
        <v>192</v>
      </c>
    </row>
    <row r="7" spans="1:3" x14ac:dyDescent="0.3">
      <c r="A7" s="4" t="s">
        <v>198</v>
      </c>
      <c r="B7" s="4" t="s">
        <v>199</v>
      </c>
      <c r="C7" s="4" t="s">
        <v>192</v>
      </c>
    </row>
    <row r="8" spans="1:3" x14ac:dyDescent="0.3">
      <c r="A8" s="4" t="s">
        <v>200</v>
      </c>
      <c r="B8" s="4" t="s">
        <v>201</v>
      </c>
      <c r="C8" s="4" t="s">
        <v>192</v>
      </c>
    </row>
    <row r="9" spans="1:3" x14ac:dyDescent="0.3">
      <c r="A9" s="4" t="s">
        <v>202</v>
      </c>
      <c r="B9" s="4" t="s">
        <v>203</v>
      </c>
      <c r="C9" s="4" t="s">
        <v>192</v>
      </c>
    </row>
    <row r="10" spans="1:3" x14ac:dyDescent="0.3">
      <c r="A10" s="4" t="s">
        <v>204</v>
      </c>
      <c r="B10" s="4" t="s">
        <v>205</v>
      </c>
      <c r="C10" s="4" t="s">
        <v>192</v>
      </c>
    </row>
    <row r="11" spans="1:3" x14ac:dyDescent="0.3">
      <c r="A11" s="4" t="s">
        <v>206</v>
      </c>
      <c r="B11" s="4" t="s">
        <v>207</v>
      </c>
      <c r="C11" s="4" t="s">
        <v>192</v>
      </c>
    </row>
    <row r="12" spans="1:3" x14ac:dyDescent="0.3">
      <c r="A12" s="4" t="s">
        <v>208</v>
      </c>
      <c r="B12" s="4" t="s">
        <v>9</v>
      </c>
      <c r="C12" s="4" t="s">
        <v>192</v>
      </c>
    </row>
    <row r="13" spans="1:3" x14ac:dyDescent="0.3">
      <c r="A13" s="4" t="s">
        <v>209</v>
      </c>
      <c r="B13" s="4" t="s">
        <v>210</v>
      </c>
      <c r="C13" s="4" t="s">
        <v>192</v>
      </c>
    </row>
    <row r="14" spans="1:3" ht="28.8" x14ac:dyDescent="0.3">
      <c r="A14" s="4" t="s">
        <v>211</v>
      </c>
      <c r="B14" s="4" t="s">
        <v>212</v>
      </c>
      <c r="C14" s="4" t="s">
        <v>192</v>
      </c>
    </row>
    <row r="15" spans="1:3" x14ac:dyDescent="0.3">
      <c r="A15" s="4" t="s">
        <v>213</v>
      </c>
      <c r="B15" s="4" t="s">
        <v>214</v>
      </c>
      <c r="C15" s="4" t="s">
        <v>192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1BB7-CB50-479B-BB5F-CAD480E6CB74}">
  <dimension ref="A1:B12"/>
  <sheetViews>
    <sheetView workbookViewId="0">
      <selection activeCell="A8" sqref="A8:B8"/>
    </sheetView>
  </sheetViews>
  <sheetFormatPr defaultRowHeight="14.4" x14ac:dyDescent="0.3"/>
  <cols>
    <col min="1" max="1" width="25.296875" customWidth="1"/>
  </cols>
  <sheetData>
    <row r="1" spans="1:2" x14ac:dyDescent="0.3">
      <c r="A1" s="6" t="s">
        <v>215</v>
      </c>
      <c r="B1" s="6" t="s">
        <v>216</v>
      </c>
    </row>
    <row r="2" spans="1:2" x14ac:dyDescent="0.3">
      <c r="A2" s="4" t="s">
        <v>217</v>
      </c>
      <c r="B2" s="11">
        <f>ROWS(HerbalSurvey[])</f>
        <v>60</v>
      </c>
    </row>
    <row r="3" spans="1:2" x14ac:dyDescent="0.3">
      <c r="A3" s="4" t="s">
        <v>224</v>
      </c>
      <c r="B3" s="11">
        <f>COUNTIF(HerbalSurvey[UsesHerbalRemedies],"Yes")</f>
        <v>57</v>
      </c>
    </row>
    <row r="4" spans="1:2" x14ac:dyDescent="0.3">
      <c r="A4" s="4" t="s">
        <v>218</v>
      </c>
      <c r="B4" s="12">
        <f>COUNTIF(HerbalSurvey[UsesHerbalRemedies],"Yes")/ROWS(HerbalSurvey[])</f>
        <v>0.95</v>
      </c>
    </row>
    <row r="5" spans="1:2" x14ac:dyDescent="0.3">
      <c r="A5" s="4" t="s">
        <v>225</v>
      </c>
      <c r="B5" s="11">
        <f>COUNTIF(HerbalSurvey[IsEffective],"Yes")</f>
        <v>55</v>
      </c>
    </row>
    <row r="6" spans="1:2" x14ac:dyDescent="0.3">
      <c r="A6" s="4" t="s">
        <v>219</v>
      </c>
      <c r="B6" s="12">
        <f>COUNTIF(HerbalSurvey[IsEffective],"Yes")/ROWS(HerbalSurvey[])</f>
        <v>0.91666666666666663</v>
      </c>
    </row>
    <row r="7" spans="1:2" ht="17.75" customHeight="1" x14ac:dyDescent="0.3">
      <c r="A7" s="4" t="s">
        <v>226</v>
      </c>
      <c r="B7" s="11">
        <f>COUNTIF(HerbalSurvey[HasSideEffects],"Yes")</f>
        <v>22</v>
      </c>
    </row>
    <row r="8" spans="1:2" x14ac:dyDescent="0.3">
      <c r="A8" s="4" t="s">
        <v>221</v>
      </c>
      <c r="B8" s="12">
        <f>COUNTIF(HerbalSurvey[HasSideEffects],"Yes")/ROWS(HerbalSurvey[])</f>
        <v>0.36666666666666664</v>
      </c>
    </row>
    <row r="9" spans="1:2" x14ac:dyDescent="0.3">
      <c r="A9" s="4" t="s">
        <v>227</v>
      </c>
      <c r="B9" s="11">
        <f>COUNTIF(HerbalSurvey[RecommendToOthers],"Yes")</f>
        <v>47</v>
      </c>
    </row>
    <row r="10" spans="1:2" x14ac:dyDescent="0.3">
      <c r="A10" s="4" t="s">
        <v>220</v>
      </c>
      <c r="B10" s="12">
        <f>COUNTIF(HerbalSurvey[RecommendToOthers],"Yes")/ROWS(HerbalSurvey[])</f>
        <v>0.78333333333333333</v>
      </c>
    </row>
    <row r="11" spans="1:2" x14ac:dyDescent="0.3">
      <c r="A11" s="4" t="s">
        <v>222</v>
      </c>
      <c r="B11" s="11" t="str" cm="1">
        <f t="array" ref="B11">INDEX(_xlfn.UNIQUE(HerbalSurvey[AgeGroup]),
MODE(MATCH(HerbalSurvey[AgeGroup],
_xlfn.UNIQUE(HerbalSurvey[AgeGroup]),0)))</f>
        <v>18 - 30</v>
      </c>
    </row>
    <row r="12" spans="1:2" x14ac:dyDescent="0.3">
      <c r="A12" s="4" t="s">
        <v>223</v>
      </c>
      <c r="B12" s="11" t="str" cm="1">
        <f t="array" ref="B12">INDEX(_xlfn.UNIQUE(HerbalSurvey[Location]),
MODE(MATCH(HerbalSurvey[Location],
_xlfn.UNIQUE(HerbalSurvey[Location]),0)))</f>
        <v>Rural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C05A-A480-4246-8E25-FB854336FEBC}">
  <dimension ref="A3:J59"/>
  <sheetViews>
    <sheetView zoomScale="77" zoomScaleNormal="77" workbookViewId="0">
      <selection activeCell="F20" sqref="F20"/>
    </sheetView>
  </sheetViews>
  <sheetFormatPr defaultRowHeight="14.4" x14ac:dyDescent="0.3"/>
  <cols>
    <col min="1" max="1" width="13" bestFit="1" customWidth="1"/>
    <col min="2" max="2" width="20.59765625" bestFit="1" customWidth="1"/>
    <col min="5" max="5" width="13" bestFit="1" customWidth="1"/>
    <col min="6" max="6" width="10" bestFit="1" customWidth="1"/>
    <col min="9" max="9" width="12.3984375" bestFit="1" customWidth="1"/>
    <col min="10" max="10" width="16.296875" bestFit="1" customWidth="1"/>
  </cols>
  <sheetData>
    <row r="3" spans="1:10" x14ac:dyDescent="0.3">
      <c r="A3" s="13" t="s">
        <v>228</v>
      </c>
      <c r="B3" t="s">
        <v>231</v>
      </c>
      <c r="E3" s="13" t="s">
        <v>228</v>
      </c>
      <c r="F3" t="s">
        <v>231</v>
      </c>
      <c r="I3" s="13" t="s">
        <v>228</v>
      </c>
      <c r="J3" t="s">
        <v>231</v>
      </c>
    </row>
    <row r="4" spans="1:10" x14ac:dyDescent="0.3">
      <c r="A4" s="14" t="s">
        <v>42</v>
      </c>
      <c r="B4" s="15">
        <v>18</v>
      </c>
      <c r="E4" s="14" t="s">
        <v>14</v>
      </c>
      <c r="F4" s="15">
        <v>36</v>
      </c>
      <c r="I4" s="14" t="s">
        <v>34</v>
      </c>
      <c r="J4" s="15">
        <v>31</v>
      </c>
    </row>
    <row r="5" spans="1:10" x14ac:dyDescent="0.3">
      <c r="A5" s="14" t="s">
        <v>13</v>
      </c>
      <c r="B5" s="15">
        <v>42</v>
      </c>
      <c r="E5" s="14" t="s">
        <v>23</v>
      </c>
      <c r="F5" s="15">
        <v>24</v>
      </c>
      <c r="I5" s="14" t="s">
        <v>15</v>
      </c>
      <c r="J5" s="15">
        <v>29</v>
      </c>
    </row>
    <row r="6" spans="1:10" x14ac:dyDescent="0.3">
      <c r="A6" s="14" t="s">
        <v>229</v>
      </c>
      <c r="B6" s="15">
        <v>60</v>
      </c>
      <c r="E6" s="14" t="s">
        <v>229</v>
      </c>
      <c r="F6" s="15">
        <v>60</v>
      </c>
      <c r="I6" s="14" t="s">
        <v>229</v>
      </c>
      <c r="J6" s="15">
        <v>60</v>
      </c>
    </row>
    <row r="20" spans="1:10" x14ac:dyDescent="0.3">
      <c r="A20" s="13" t="s">
        <v>228</v>
      </c>
      <c r="B20" t="s">
        <v>217</v>
      </c>
      <c r="E20" s="13" t="s">
        <v>228</v>
      </c>
      <c r="F20" t="s">
        <v>230</v>
      </c>
      <c r="I20" s="13" t="s">
        <v>228</v>
      </c>
      <c r="J20" t="s">
        <v>217</v>
      </c>
    </row>
    <row r="21" spans="1:10" x14ac:dyDescent="0.3">
      <c r="A21" s="14" t="s">
        <v>22</v>
      </c>
      <c r="B21" s="15">
        <v>3</v>
      </c>
      <c r="E21" s="14" t="s">
        <v>36</v>
      </c>
      <c r="F21" s="15">
        <v>10</v>
      </c>
      <c r="I21" s="14" t="s">
        <v>29</v>
      </c>
      <c r="J21" s="15">
        <v>5</v>
      </c>
    </row>
    <row r="22" spans="1:10" x14ac:dyDescent="0.3">
      <c r="A22" s="14" t="s">
        <v>16</v>
      </c>
      <c r="B22" s="15">
        <v>57</v>
      </c>
      <c r="E22" s="14" t="s">
        <v>28</v>
      </c>
      <c r="F22" s="15">
        <v>11</v>
      </c>
      <c r="I22" s="14" t="s">
        <v>25</v>
      </c>
      <c r="J22" s="15">
        <v>25</v>
      </c>
    </row>
    <row r="23" spans="1:10" x14ac:dyDescent="0.3">
      <c r="A23" s="14" t="s">
        <v>229</v>
      </c>
      <c r="B23" s="15">
        <v>60</v>
      </c>
      <c r="E23" s="14" t="s">
        <v>32</v>
      </c>
      <c r="F23" s="15">
        <v>19</v>
      </c>
      <c r="I23" s="14" t="s">
        <v>18</v>
      </c>
      <c r="J23" s="15">
        <v>17</v>
      </c>
    </row>
    <row r="24" spans="1:10" x14ac:dyDescent="0.3">
      <c r="E24" s="14" t="s">
        <v>17</v>
      </c>
      <c r="F24" s="15">
        <v>4</v>
      </c>
      <c r="I24" s="14" t="s">
        <v>37</v>
      </c>
      <c r="J24" s="15">
        <v>13</v>
      </c>
    </row>
    <row r="25" spans="1:10" x14ac:dyDescent="0.3">
      <c r="E25" s="14" t="s">
        <v>41</v>
      </c>
      <c r="F25" s="15">
        <v>11</v>
      </c>
      <c r="I25" s="14" t="s">
        <v>229</v>
      </c>
      <c r="J25" s="15">
        <v>60</v>
      </c>
    </row>
    <row r="26" spans="1:10" x14ac:dyDescent="0.3">
      <c r="E26" s="14" t="s">
        <v>229</v>
      </c>
      <c r="F26" s="15">
        <v>55</v>
      </c>
    </row>
    <row r="38" spans="1:10" x14ac:dyDescent="0.3">
      <c r="A38" s="13" t="s">
        <v>228</v>
      </c>
      <c r="B38" t="s">
        <v>217</v>
      </c>
      <c r="E38" s="13" t="s">
        <v>228</v>
      </c>
      <c r="F38" t="s">
        <v>217</v>
      </c>
      <c r="I38" s="13" t="s">
        <v>228</v>
      </c>
      <c r="J38" t="s">
        <v>217</v>
      </c>
    </row>
    <row r="39" spans="1:10" x14ac:dyDescent="0.3">
      <c r="A39" s="14" t="s">
        <v>35</v>
      </c>
      <c r="B39" s="15">
        <v>11</v>
      </c>
      <c r="E39" s="14" t="s">
        <v>33</v>
      </c>
      <c r="F39" s="15">
        <v>31</v>
      </c>
      <c r="I39" s="14" t="s">
        <v>22</v>
      </c>
      <c r="J39" s="15">
        <v>4</v>
      </c>
    </row>
    <row r="40" spans="1:10" x14ac:dyDescent="0.3">
      <c r="A40" s="14" t="s">
        <v>43</v>
      </c>
      <c r="B40" s="15">
        <v>1</v>
      </c>
      <c r="E40" s="14" t="s">
        <v>20</v>
      </c>
      <c r="F40" s="15">
        <v>8</v>
      </c>
      <c r="I40" s="14" t="s">
        <v>48</v>
      </c>
      <c r="J40" s="15">
        <v>1</v>
      </c>
    </row>
    <row r="41" spans="1:10" x14ac:dyDescent="0.3">
      <c r="A41" s="14" t="s">
        <v>52</v>
      </c>
      <c r="B41" s="15">
        <v>2</v>
      </c>
      <c r="E41" s="14" t="s">
        <v>28</v>
      </c>
      <c r="F41" s="15">
        <v>2</v>
      </c>
      <c r="I41" s="14" t="s">
        <v>16</v>
      </c>
      <c r="J41" s="15">
        <v>55</v>
      </c>
    </row>
    <row r="42" spans="1:10" x14ac:dyDescent="0.3">
      <c r="A42" s="14" t="s">
        <v>30</v>
      </c>
      <c r="B42" s="15">
        <v>6</v>
      </c>
      <c r="E42" s="14" t="s">
        <v>26</v>
      </c>
      <c r="F42" s="15">
        <v>19</v>
      </c>
      <c r="I42" s="14" t="s">
        <v>229</v>
      </c>
      <c r="J42" s="15">
        <v>60</v>
      </c>
    </row>
    <row r="43" spans="1:10" x14ac:dyDescent="0.3">
      <c r="A43" s="14" t="s">
        <v>38</v>
      </c>
      <c r="B43" s="15">
        <v>22</v>
      </c>
      <c r="E43" s="14" t="s">
        <v>229</v>
      </c>
      <c r="F43" s="15">
        <v>60</v>
      </c>
    </row>
    <row r="44" spans="1:10" x14ac:dyDescent="0.3">
      <c r="A44" s="14" t="s">
        <v>19</v>
      </c>
      <c r="B44" s="15">
        <v>2</v>
      </c>
    </row>
    <row r="45" spans="1:10" x14ac:dyDescent="0.3">
      <c r="A45" s="14" t="s">
        <v>50</v>
      </c>
      <c r="B45" s="15">
        <v>1</v>
      </c>
    </row>
    <row r="46" spans="1:10" x14ac:dyDescent="0.3">
      <c r="A46" s="14" t="s">
        <v>44</v>
      </c>
      <c r="B46" s="15">
        <v>3</v>
      </c>
    </row>
    <row r="47" spans="1:10" x14ac:dyDescent="0.3">
      <c r="A47" s="14" t="s">
        <v>53</v>
      </c>
      <c r="B47" s="15">
        <v>1</v>
      </c>
    </row>
    <row r="48" spans="1:10" x14ac:dyDescent="0.3">
      <c r="A48" s="14" t="s">
        <v>49</v>
      </c>
      <c r="B48" s="15">
        <v>1</v>
      </c>
    </row>
    <row r="49" spans="1:10" x14ac:dyDescent="0.3">
      <c r="A49" s="14" t="s">
        <v>40</v>
      </c>
      <c r="B49" s="15">
        <v>4</v>
      </c>
    </row>
    <row r="50" spans="1:10" x14ac:dyDescent="0.3">
      <c r="A50" s="14" t="s">
        <v>45</v>
      </c>
      <c r="B50" s="15">
        <v>6</v>
      </c>
    </row>
    <row r="51" spans="1:10" x14ac:dyDescent="0.3">
      <c r="A51" s="14" t="s">
        <v>229</v>
      </c>
      <c r="B51" s="15">
        <v>60</v>
      </c>
    </row>
    <row r="56" spans="1:10" x14ac:dyDescent="0.3">
      <c r="A56" s="13" t="s">
        <v>228</v>
      </c>
      <c r="B56" t="s">
        <v>217</v>
      </c>
      <c r="E56" s="13" t="s">
        <v>228</v>
      </c>
      <c r="F56" t="s">
        <v>217</v>
      </c>
      <c r="I56" s="13" t="s">
        <v>228</v>
      </c>
      <c r="J56" t="s">
        <v>217</v>
      </c>
    </row>
    <row r="57" spans="1:10" x14ac:dyDescent="0.3">
      <c r="A57" s="14" t="s">
        <v>22</v>
      </c>
      <c r="B57" s="15">
        <v>38</v>
      </c>
      <c r="E57" s="14" t="s">
        <v>22</v>
      </c>
      <c r="F57" s="15">
        <v>13</v>
      </c>
      <c r="I57" s="14" t="s">
        <v>22</v>
      </c>
      <c r="J57" s="15">
        <v>24</v>
      </c>
    </row>
    <row r="58" spans="1:10" x14ac:dyDescent="0.3">
      <c r="A58" s="14" t="s">
        <v>16</v>
      </c>
      <c r="B58" s="15">
        <v>22</v>
      </c>
      <c r="E58" s="14" t="s">
        <v>16</v>
      </c>
      <c r="F58" s="15">
        <v>47</v>
      </c>
      <c r="I58" s="14" t="s">
        <v>16</v>
      </c>
      <c r="J58" s="15">
        <v>36</v>
      </c>
    </row>
    <row r="59" spans="1:10" x14ac:dyDescent="0.3">
      <c r="A59" s="14" t="s">
        <v>229</v>
      </c>
      <c r="B59" s="15">
        <v>60</v>
      </c>
      <c r="E59" s="14" t="s">
        <v>229</v>
      </c>
      <c r="F59" s="15">
        <v>60</v>
      </c>
      <c r="I59" s="14" t="s">
        <v>229</v>
      </c>
      <c r="J59" s="15">
        <v>60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A3E8-2556-45A5-910C-381484DE26AA}">
  <dimension ref="A1"/>
  <sheetViews>
    <sheetView zoomScale="97" zoomScaleNormal="97" workbookViewId="0">
      <selection activeCell="N17" sqref="N17"/>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6937-C158-436E-93BD-AB6DA5525F42}">
  <dimension ref="A1:U33"/>
  <sheetViews>
    <sheetView showGridLines="0" showRowColHeaders="0" tabSelected="1" workbookViewId="0">
      <selection sqref="A1:U1"/>
    </sheetView>
  </sheetViews>
  <sheetFormatPr defaultRowHeight="14.4" x14ac:dyDescent="0.3"/>
  <sheetData>
    <row r="1" spans="1:21" ht="36" customHeight="1" x14ac:dyDescent="0.8">
      <c r="A1" s="23" t="s">
        <v>232</v>
      </c>
      <c r="B1" s="20"/>
      <c r="C1" s="20"/>
      <c r="D1" s="20"/>
      <c r="E1" s="20"/>
      <c r="F1" s="20"/>
      <c r="G1" s="20"/>
      <c r="H1" s="20"/>
      <c r="I1" s="20"/>
      <c r="J1" s="20"/>
      <c r="K1" s="20"/>
      <c r="L1" s="20"/>
      <c r="M1" s="20"/>
      <c r="N1" s="20"/>
      <c r="O1" s="20"/>
      <c r="P1" s="20"/>
      <c r="Q1" s="20"/>
      <c r="R1" s="20"/>
      <c r="S1" s="20"/>
      <c r="T1" s="20"/>
      <c r="U1" s="20"/>
    </row>
    <row r="2" spans="1:21" ht="20.5" customHeight="1" x14ac:dyDescent="0.45">
      <c r="A2" s="21" t="s">
        <v>233</v>
      </c>
      <c r="B2" s="20"/>
      <c r="C2" s="20"/>
      <c r="D2" s="20"/>
      <c r="E2" s="20"/>
      <c r="F2" s="20"/>
      <c r="G2" s="20"/>
      <c r="H2" s="20"/>
      <c r="I2" s="20"/>
      <c r="J2" s="20"/>
      <c r="K2" s="20"/>
      <c r="L2" s="20"/>
      <c r="M2" s="20"/>
      <c r="N2" s="20"/>
      <c r="O2" s="20"/>
      <c r="P2" s="20"/>
      <c r="Q2" s="20"/>
      <c r="R2" s="20"/>
      <c r="S2" s="20"/>
      <c r="T2" s="20"/>
      <c r="U2" s="20"/>
    </row>
    <row r="4" spans="1:21" x14ac:dyDescent="0.3">
      <c r="D4" t="s">
        <v>234</v>
      </c>
    </row>
    <row r="32" spans="17:17" ht="14.4" customHeight="1" x14ac:dyDescent="0.3">
      <c r="Q32" s="2"/>
    </row>
    <row r="33" spans="7:17" x14ac:dyDescent="0.3">
      <c r="G33" s="22" t="s">
        <v>235</v>
      </c>
      <c r="H33" s="22"/>
      <c r="I33" s="22"/>
      <c r="J33" s="22"/>
      <c r="K33" s="22"/>
      <c r="L33" s="22"/>
      <c r="M33" s="22"/>
      <c r="N33" s="22"/>
      <c r="O33" s="22"/>
      <c r="P33" s="22"/>
      <c r="Q33" s="2"/>
    </row>
  </sheetData>
  <mergeCells count="3">
    <mergeCell ref="A1:U1"/>
    <mergeCell ref="A2:U2"/>
    <mergeCell ref="G33:P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Raw_Data</vt:lpstr>
      <vt:lpstr>Cleaned_Data</vt:lpstr>
      <vt:lpstr>Data_Dictionary</vt:lpstr>
      <vt:lpstr>KPIs</vt:lpstr>
      <vt:lpstr>Pivot_Tables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 musa isah</dc:creator>
  <cp:lastModifiedBy>umar musa isah</cp:lastModifiedBy>
  <dcterms:created xsi:type="dcterms:W3CDTF">2026-05-01T09:56:06Z</dcterms:created>
  <dcterms:modified xsi:type="dcterms:W3CDTF">2026-08-06T14:01:42Z</dcterms:modified>
</cp:coreProperties>
</file>